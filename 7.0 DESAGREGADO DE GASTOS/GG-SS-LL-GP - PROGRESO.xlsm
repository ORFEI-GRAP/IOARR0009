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9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</workbook>
</file>

<file path=xl/calcChain.xml><?xml version="1.0" encoding="utf-8"?>
<calcChain xmlns="http://schemas.openxmlformats.org/spreadsheetml/2006/main">
  <c r="G12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G141" i="12" s="1"/>
  <c r="E54" i="22"/>
  <c r="E87" i="22" s="1"/>
  <c r="E55" i="22"/>
  <c r="E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88" i="21"/>
  <c r="D92" i="11"/>
  <c r="F37" i="11"/>
  <c r="D108" i="11"/>
  <c r="D73" i="11"/>
  <c r="D134" i="11"/>
  <c r="D116" i="11"/>
  <c r="F45" i="11"/>
  <c r="D65" i="11"/>
  <c r="E107" i="22" l="1"/>
  <c r="E96" i="22"/>
  <c r="E76" i="22"/>
  <c r="F54" i="22"/>
  <c r="E66" i="22"/>
  <c r="G154" i="27"/>
  <c r="G19" i="25"/>
  <c r="F97" i="22"/>
  <c r="F98" i="22" s="1"/>
  <c r="E67" i="22"/>
  <c r="F67" i="22" s="1"/>
  <c r="E77" i="21"/>
  <c r="E47" i="21"/>
  <c r="F76" i="22"/>
  <c r="F35" i="21"/>
  <c r="F37" i="21" s="1"/>
  <c r="G28" i="21" s="1"/>
  <c r="E68" i="21"/>
  <c r="F68" i="21" s="1"/>
  <c r="F70" i="21" s="1"/>
  <c r="F47" i="21"/>
  <c r="F49" i="21" s="1"/>
  <c r="E88" i="22"/>
  <c r="F88" i="22" s="1"/>
  <c r="E108" i="22"/>
  <c r="E77" i="22"/>
  <c r="F77" i="22" s="1"/>
  <c r="F55" i="22"/>
  <c r="F96" i="22"/>
  <c r="D77" i="21"/>
  <c r="D88" i="21" s="1"/>
  <c r="F88" i="21" s="1"/>
  <c r="F90" i="21" s="1"/>
  <c r="G81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81" i="11" s="1"/>
  <c r="F97" i="11"/>
  <c r="E65" i="11"/>
  <c r="F65" i="11" s="1"/>
  <c r="F116" i="11"/>
  <c r="F114" i="11"/>
  <c r="F80" i="11"/>
  <c r="F115" i="11"/>
  <c r="F133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10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22" l="1"/>
  <c r="G47" i="22" s="1"/>
  <c r="F78" i="22"/>
  <c r="F109" i="22"/>
  <c r="G102" i="22" s="1"/>
  <c r="G100" i="22" s="1"/>
  <c r="F77" i="2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68" i="13"/>
  <c r="G103" i="13"/>
  <c r="C16" i="10"/>
  <c r="G45" i="22" l="1"/>
  <c r="G14" i="22" s="1"/>
  <c r="G68" i="16"/>
  <c r="G47" i="16"/>
  <c r="G33" i="16" s="1"/>
  <c r="G15" i="16" s="1"/>
  <c r="G19" i="16" s="1"/>
  <c r="G25" i="25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G14" i="25" s="1"/>
  <c r="G16" i="25" s="1"/>
  <c r="D21" i="10"/>
  <c r="D22" i="10" s="1"/>
  <c r="G16" i="10"/>
  <c r="G21" i="25" l="1"/>
  <c r="E19" i="25"/>
  <c r="E24" i="25"/>
  <c r="J15" i="25"/>
  <c r="E13" i="25" s="1"/>
  <c r="J24" i="25"/>
  <c r="K19" i="11"/>
  <c r="K22" i="11" s="1"/>
  <c r="K25" i="11" s="1"/>
  <c r="G204" i="11"/>
  <c r="K16" i="10"/>
  <c r="G27" i="25" l="1"/>
  <c r="E23" i="25"/>
  <c r="E25" i="25"/>
  <c r="G19" i="10"/>
  <c r="I154" i="16" l="1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<sst xmlns="http://schemas.openxmlformats.org/spreadsheetml/2006/main" count="2149" uniqueCount="655">
  <si>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</si>
  <si>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</si>
  <si>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</si>
  <si>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</si>
  <si>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</si>
  <si>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</si>
  <si>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</si>
  <si>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</si>
  <si>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</si>
  <si>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</si>
  <si>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</si>
  <si>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</si>
  <si>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</si>
  <si>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</si>
  <si>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</si>
  <si>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</si>
  <si>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</si>
  <si>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</si>
  <si>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</si>
  <si>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</si>
  <si>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</si>
  <si>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</si>
  <si>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</si>
  <si>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</si>
  <si>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</si>
  <si>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</si>
  <si>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</si>
  <si>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</si>
  <si>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</si>
  <si>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</si>
  <si>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</si>
  <si>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</si>
  <si>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</si>
  <si>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</si>
  <si>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</si>
  <si>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</si>
  <si>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</si>
  <si>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</si>
  <si>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</si>
  <si>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</si>
  <si>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</si>
  <si>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</si>
  <si>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</si>
  <si>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</si>
  <si>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</si>
  <si>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</si>
  <si>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</si>
  <si>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</si>
  <si>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</si>
  <si>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</si>
  <si>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</si>
  <si>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</si>
  <si>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</si>
  <si>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</si>
  <si>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</si>
  <si>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</si>
  <si>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</si>
  <si>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</si>
  <si>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</si>
  <si>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</si>
  <si>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</si>
  <si>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</si>
  <si>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</si>
  <si>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</si>
  <si>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</si>
  <si>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</si>
  <si>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</si>
  <si>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</si>
  <si>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</si>
  <si>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</si>
  <si>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</si>
  <si>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</si>
  <si>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</si>
  <si>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</si>
  <si>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</si>
  <si>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</si>
  <si>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</si>
  <si>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</si>
  <si>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</si>
  <si>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</si>
  <si>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</si>
  <si>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</si>
  <si>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</si>
  <si>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</si>
  <si>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</si>
  <si>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</si>
  <si>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</si>
  <si>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</si>
  <si>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</si>
  <si>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</si>
  <si>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</si>
  <si>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</si>
  <si>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</si>
  <si>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</si>
  <si>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</si>
  <si>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</si>
  <si>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</si>
  <si>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</si>
  <si>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</si>
  <si>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</si>
  <si>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</si>
  <si>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</si>
  <si>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</si>
  <si>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</si>
  <si>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</si>
  <si>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</si>
  <si>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</si>
  <si>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</si>
  <si>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</si>
  <si>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</si>
  <si>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</si>
  <si>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</si>
  <si>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</si>
  <si>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</si>
  <si>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</si>
  <si>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</si>
  <si>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</si>
  <si>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</si>
  <si>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</si>
  <si>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</si>
  <si>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</si>
  <si>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</si>
  <si>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</si>
  <si>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</si>
  <si>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</si>
  <si>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</si>
  <si>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</si>
  <si>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</si>
  <si>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</si>
  <si>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</si>
  <si>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</si>
  <si>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</si>
  <si>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</si>
  <si>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</si>
  <si>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</si>
  <si>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</si>
  <si>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</si>
  <si>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</si>
  <si>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</si>
  <si>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</si>
  <si>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</si>
  <si>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</si>
  <si>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</si>
  <si>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</si>
  <si>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</si>
  <si>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</si>
  <si>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</si>
  <si>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</si>
  <si>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</si>
  <si>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</si>
  <si>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</si>
  <si>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</si>
  <si>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</si>
  <si>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</si>
  <si>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</si>
  <si>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</si>
  <si>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</si>
  <si>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</si>
  <si>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</si>
  <si>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</si>
  <si>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</si>
  <si>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</si>
  <si>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</si>
  <si>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</si>
  <si>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</si>
  <si>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</si>
  <si>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</si>
  <si>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</si>
  <si>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</si>
  <si>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</si>
  <si>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</si>
  <si>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</si>
  <si>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</si>
  <si>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</si>
  <si>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</si>
  <si>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</si>
  <si>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</si>
  <si>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</si>
  <si>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</si>
  <si>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</si>
  <si>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</si>
  <si>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</si>
  <si>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</si>
  <si>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</si>
  <si>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</si>
  <si>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</si>
  <si>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</si>
  <si>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</si>
  <si>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</si>
  <si>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</si>
  <si>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</si>
  <si>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</si>
  <si>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</si>
  <si>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</si>
  <si>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</si>
  <si>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</si>
  <si>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</si>
  <si>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</si>
  <si>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</si>
  <si>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</si>
  <si>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</si>
  <si>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</si>
  <si>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</si>
  <si>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</si>
  <si>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</si>
  <si>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</si>
  <si>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</si>
  <si>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</si>
  <si>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</si>
  <si>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</si>
  <si>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</si>
  <si>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</si>
  <si>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</si>
  <si>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</si>
  <si>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</si>
  <si>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</si>
  <si>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</si>
  <si>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</si>
  <si>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</si>
  <si>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</si>
  <si>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</si>
  <si>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</si>
  <si>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</si>
  <si>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</si>
  <si>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</si>
  <si>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</si>
  <si>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</si>
  <si>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</si>
  <si>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</si>
  <si>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</si>
  <si>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</si>
  <si>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</si>
  <si>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</si>
  <si>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</si>
  <si>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</si>
  <si>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</si>
  <si>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</si>
  <si>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</si>
  <si>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</si>
  <si>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</si>
  <si>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</si>
  <si>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</si>
  <si>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</si>
  <si>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</si>
  <si>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</si>
  <si>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</si>
  <si>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</si>
  <si>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</si>
  <si>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</si>
  <si>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</si>
  <si>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</si>
  <si>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</si>
  <si>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</si>
  <si>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</si>
  <si>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</si>
  <si>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</si>
  <si>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</si>
  <si>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</si>
  <si>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</si>
  <si>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</si>
  <si>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</si>
  <si>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</si>
  <si>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</si>
  <si>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</si>
  <si>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</si>
  <si>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</si>
  <si>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</si>
  <si>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</si>
  <si>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</si>
  <si>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</si>
  <si>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</si>
  <si>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</si>
  <si>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</si>
  <si>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</si>
  <si>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</si>
  <si>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</si>
  <si>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</si>
  <si>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</si>
  <si>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</si>
  <si>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</si>
  <si>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</si>
  <si>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</si>
  <si>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</si>
  <si>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</si>
  <si>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</si>
  <si>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</si>
  <si>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</si>
  <si>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</si>
  <si>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</si>
  <si>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</si>
  <si>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</si>
  <si>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</si>
  <si>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</si>
  <si>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</si>
  <si>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</si>
  <si>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</si>
  <si>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</si>
  <si>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</si>
  <si>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</si>
  <si>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</si>
  <si>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</si>
  <si>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</si>
  <si>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</si>
  <si>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</si>
  <si>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</si>
  <si>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</si>
  <si>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</si>
  <si>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</si>
  <si>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</si>
  <si>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</si>
  <si>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</si>
  <si>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</si>
  <si>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</si>
  <si>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</si>
  <si>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</si>
  <si>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</si>
  <si>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</si>
  <si>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</si>
  <si>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</si>
  <si>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</si>
  <si>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</si>
  <si>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</si>
  <si>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</si>
  <si>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</si>
  <si>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</si>
  <si>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</si>
  <si>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</si>
  <si>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</si>
  <si>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</si>
  <si>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</si>
  <si>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</si>
  <si>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</si>
  <si>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</si>
  <si>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</si>
  <si>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</si>
  <si>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</si>
  <si>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</si>
  <si>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</si>
  <si>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</si>
  <si>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</si>
  <si>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</si>
  <si>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</si>
  <si>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</si>
  <si>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</si>
  <si>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</si>
  <si>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</si>
  <si>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</si>
  <si>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</si>
  <si>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</si>
  <si>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</si>
  <si>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</si>
  <si>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</si>
  <si>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</si>
  <si>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</si>
  <si>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</si>
  <si>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</si>
  <si>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</si>
  <si>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</si>
  <si>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</si>
  <si>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</si>
  <si>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</si>
  <si>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</si>
  <si>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</si>
  <si>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</si>
  <si>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</si>
  <si>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</si>
  <si>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</si>
  <si>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</si>
  <si>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</si>
  <si>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</si>
  <si>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</si>
  <si>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</si>
  <si>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</si>
  <si>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</si>
  <si>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</si>
  <si>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</si>
  <si>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</si>
  <si>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</si>
  <si>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</si>
  <si>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</si>
  <si>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</si>
  <si>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</si>
  <si>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</si>
  <si>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</si>
  <si>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</si>
  <si>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</si>
  <si>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</si>
  <si>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</si>
  <si>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</si>
  <si>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</si>
  <si>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</si>
  <si>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</si>
  <si>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</si>
  <si>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</si>
  <si>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</si>
  <si>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</si>
  <si>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</si>
  <si>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</si>
  <si>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</si>
  <si>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</si>
  <si>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</si>
  <si>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</si>
  <si>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</si>
  <si>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</si>
  <si>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</si>
  <si>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</si>
  <si>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</si>
  <si>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</si>
  <si>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</si>
  <si>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</si>
  <si>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</si>
  <si>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</si>
  <si>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</si>
  <si>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</si>
  <si>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</si>
  <si>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</si>
  <si>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</si>
  <si>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</si>
  <si>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</si>
  <si>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</si>
  <si>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</si>
  <si>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</si>
  <si>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</si>
  <si>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</si>
  <si>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</si>
  <si>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</si>
  <si>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</si>
  <si>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</si>
  <si>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</si>
  <si>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</si>
  <si>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</si>
  <si>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</si>
  <si>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</si>
  <si>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</si>
  <si>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</si>
  <si>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</si>
  <si>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</si>
  <si>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</si>
  <si>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</si>
  <si>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</si>
  <si>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</si>
  <si>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</si>
  <si>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</si>
  <si>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</si>
  <si>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</si>
  <si>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</si>
  <si>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</si>
  <si>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</si>
  <si>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</si>
  <si>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</si>
  <si>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</si>
  <si>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</si>
  <si>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</si>
  <si>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</si>
  <si>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</si>
  <si>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</si>
  <si>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</si>
  <si>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</si>
  <si>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</si>
  <si>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</si>
  <si>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</si>
  <si>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</si>
  <si>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</si>
  <si>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</si>
  <si>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</si>
  <si>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</si>
  <si>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</si>
  <si>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</si>
  <si>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</si>
  <si>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</si>
  <si>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</si>
  <si>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</si>
  <si>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</si>
  <si>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</si>
  <si>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</si>
  <si>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</si>
  <si>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</si>
  <si>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</si>
  <si>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</si>
  <si>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</si>
  <si>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</si>
  <si>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</si>
  <si>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</si>
  <si>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</si>
  <si>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</si>
  <si>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</si>
  <si>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</si>
  <si>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</si>
  <si>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</si>
  <si>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</si>
  <si>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</si>
  <si>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</si>
  <si>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</si>
  <si>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</si>
  <si>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</si>
  <si>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</si>
  <si>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</si>
  <si>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</si>
  <si>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</si>
  <si>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</si>
  <si>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</si>
  <si>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</si>
  <si>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</si>
  <si>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</si>
  <si>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</si>
  <si>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</si>
  <si>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</si>
  <si>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</si>
  <si>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</si>
  <si>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</si>
  <si>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</si>
  <si>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</si>
  <si>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</si>
  <si>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</si>
  <si>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</si>
  <si>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</si>
  <si>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</si>
  <si>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</si>
  <si>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</si>
  <si>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</si>
  <si>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</si>
  <si>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</si>
  <si>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</si>
  <si>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</si>
  <si>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</si>
  <si>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</si>
  <si>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</si>
  <si>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</si>
  <si>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</si>
  <si>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</si>
  <si>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</si>
  <si>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</si>
  <si>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</si>
  <si>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</si>
  <si>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</si>
  <si>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</si>
  <si>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</si>
  <si>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</si>
  <si>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</si>
  <si>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</si>
  <si>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</si>
  <si>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</si>
  <si>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</si>
  <si>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</si>
  <si>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</si>
  <si>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</si>
  <si>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</si>
  <si>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</si>
  <si>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</si>
  <si>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</si>
  <si>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</si>
  <si>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</si>
  <si>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</si>
  <si>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</si>
  <si>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</si>
  <si>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</si>
  <si>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</si>
  <si>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</si>
  <si>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</si>
  <si>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</si>
  <si>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</si>
  <si>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</si>
  <si>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</si>
  <si>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</si>
  <si>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</si>
  <si>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</si>
  <si>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</si>
  <si>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</si>
  <si>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</si>
  <si>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</si>
  <si>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</si>
  <si>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</si>
  <si>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</si>
  <si>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</si>
  <si>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</si>
  <si>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</si>
  <si>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</si>
  <si>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</si>
  <si>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</si>
  <si>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</si>
  <si>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</si>
  <si>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</si>
  <si>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</si>
  <si>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</si>
  <si>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</si>
  <si>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</si>
  <si>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</si>
  <si>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</si>
  <si>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</si>
  <si>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</si>
  <si>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</si>
  <si>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</si>
  <si>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</si>
  <si>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</si>
  <si>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</si>
  <si>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</si>
  <si>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</si>
  <si>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</si>
  <si>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</si>
  <si>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</si>
  <si>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</si>
  <si>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</si>
  <si>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</si>
  <si>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</si>
  <si>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</si>
  <si>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</si>
  <si>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</si>
  <si>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</si>
  <si>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</si>
  <si>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</si>
  <si>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</si>
  <si>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</si>
  <si>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</si>
  <si>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</si>
  <si>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</si>
  <si>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</si>
  <si>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</si>
  <si>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</si>
  <si>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</si>
  <si>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</si>
  <si>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</si>
  <si>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</si>
  <si>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</si>
  <si>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</si>
  <si>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</si>
  <si>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</si>
  <si>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</si>
  <si>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</si>
  <si>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</si>
  <si>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</si>
  <si>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</si>
  <si>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</si>
  <si>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</si>
  <si>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</si>
  <si>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</si>
  <si>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</si>
  <si>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</si>
  <si>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</si>
  <si>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</si>
  <si>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</si>
  <si>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</si>
  <si>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</si>
  <si>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</si>
  <si>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</si>
  <si>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</si>
  <si>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</si>
  <si>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</si>
  <si>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</si>
  <si>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</si>
  <si>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</si>
  <si>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</si>
  <si>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</si>
  <si>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</si>
  <si>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 “OPTIMIZACION MEDIANTE COBERTURA DE LA LOSA DEPORTIVA MULTIUSO DE LA INSTITUCION EDUCATIVA SECUNDARIA "JUAN ESPINOZA MEDRANO" PATAYPAMAPA, DISTRITO PATAYPAMPA, PROVINCIA GRAU, DEPARTAMENTO APURIMAC"</t>
  </si>
  <si>
    <t>IOARR “OPTIMIZACION MEDIANTE COBERTURA DE LA LOSA DEPORTIVA MULTIUSO DE LA INSTITUCIÓN EDUCATIVA SECUNDARIA "JUAN ESPINOZA MEDRANO" PATAYPAMPA,  DISTRITO PATAYPAMPA,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</si>
</sst>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=""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9"/>
  <sheetViews>
    <sheetView tabSelected="1" view="pageBreakPreview" zoomScaleNormal="100" zoomScaleSheetLayoutView="100" workbookViewId="0">
      <selection activeCell="F21" sqref="F2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653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310605.19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310605.19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310605.19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0.2029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373622.97333333333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0.20288709062888913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373622.97333333333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4.1389478441422031E-2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389087.03833333333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2.5701190260244384E-2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6.4154026068109021E-2</v>
      </c>
      <c r="F24" s="367"/>
      <c r="G24" s="402">
        <f>Supervision!G158</f>
        <v>24961.5</v>
      </c>
      <c r="H24" s="362"/>
      <c r="I24" s="363"/>
      <c r="J24" s="433">
        <f>G24/G16</f>
        <v>6.6809328605525076E-2</v>
      </c>
    </row>
    <row r="25" spans="2:10">
      <c r="B25" s="366"/>
      <c r="C25" s="367"/>
      <c r="D25" s="399" t="s">
        <v>138</v>
      </c>
      <c r="E25" s="400">
        <f>G25/G21</f>
        <v>4.4439285549232058E-2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441339.28833333333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CUATROCIENTOS CUARENTA Y UN MIL TRESCIENTOS TREINTA Y NUEVE CON 29/100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6" t="s">
        <v>70</v>
      </c>
      <c r="B3" s="466"/>
      <c r="C3" s="466"/>
      <c r="D3" s="466"/>
      <c r="E3" s="466"/>
      <c r="F3" s="466"/>
      <c r="G3" s="466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5" t="s">
        <v>37</v>
      </c>
      <c r="D15" s="469"/>
      <c r="E15" s="469"/>
      <c r="F15" s="470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68" t="s">
        <v>73</v>
      </c>
      <c r="C20" s="469"/>
      <c r="D20" s="469"/>
      <c r="E20" s="469"/>
      <c r="F20" s="470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67"/>
      <c r="C26" s="467"/>
      <c r="D26" s="467"/>
      <c r="E26" s="467"/>
      <c r="F26" s="467"/>
      <c r="G26" s="467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3" t="s">
        <v>3</v>
      </c>
      <c r="C52" s="464"/>
      <c r="D52" s="464"/>
      <c r="E52" s="465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3" t="s">
        <v>3</v>
      </c>
      <c r="C62" s="464"/>
      <c r="D62" s="464"/>
      <c r="E62" s="465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3" t="s">
        <v>3</v>
      </c>
      <c r="C76" s="464"/>
      <c r="D76" s="464"/>
      <c r="E76" s="465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3" t="s">
        <v>3</v>
      </c>
      <c r="C87" s="464"/>
      <c r="D87" s="464"/>
      <c r="E87" s="465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3" t="s">
        <v>3</v>
      </c>
      <c r="C99" s="464"/>
      <c r="D99" s="464"/>
      <c r="E99" s="465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3" t="s">
        <v>3</v>
      </c>
      <c r="C111" s="464"/>
      <c r="D111" s="464"/>
      <c r="E111" s="465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3" t="s">
        <v>3</v>
      </c>
      <c r="C121" s="464"/>
      <c r="D121" s="464"/>
      <c r="E121" s="465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3" t="s">
        <v>3</v>
      </c>
      <c r="C131" s="464"/>
      <c r="D131" s="464"/>
      <c r="E131" s="465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1" t="s">
        <v>3</v>
      </c>
      <c r="C140" s="472"/>
      <c r="D140" s="472"/>
      <c r="E140" s="473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1" t="s">
        <v>3</v>
      </c>
      <c r="C152" s="472"/>
      <c r="D152" s="472"/>
      <c r="E152" s="473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1" t="s">
        <v>3</v>
      </c>
      <c r="C434" s="472"/>
      <c r="D434" s="472"/>
      <c r="E434" s="473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1" t="s">
        <v>3</v>
      </c>
      <c r="C459" s="472"/>
      <c r="D459" s="472"/>
      <c r="E459" s="473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1" t="s">
        <v>3</v>
      </c>
      <c r="C467" s="472"/>
      <c r="D467" s="472"/>
      <c r="E467" s="473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6" t="s">
        <v>73</v>
      </c>
      <c r="B471" s="476"/>
      <c r="C471" s="476"/>
      <c r="D471" s="476"/>
      <c r="E471" s="476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6"/>
      <c r="C475" s="477"/>
      <c r="D475" s="477"/>
      <c r="E475" s="477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6"/>
      <c r="B479" s="476"/>
      <c r="C479" s="476"/>
      <c r="D479" s="476"/>
      <c r="E479" s="476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4"/>
      <c r="B486" s="474"/>
      <c r="C486" s="474"/>
      <c r="D486" s="474"/>
      <c r="E486" s="474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A24" sqref="A24:G24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8" t="s">
        <v>68</v>
      </c>
      <c r="B3" s="488"/>
      <c r="C3" s="488"/>
      <c r="D3" s="488"/>
      <c r="E3" s="488"/>
      <c r="F3" s="488"/>
      <c r="G3" s="488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1" t="s">
        <v>41</v>
      </c>
      <c r="C19" s="492"/>
      <c r="D19" s="492"/>
      <c r="E19" s="492"/>
      <c r="F19" s="492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6" t="s">
        <v>42</v>
      </c>
      <c r="B24" s="487"/>
      <c r="C24" s="487"/>
      <c r="D24" s="487"/>
      <c r="E24" s="487"/>
      <c r="F24" s="487"/>
      <c r="G24" s="487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6" t="s">
        <v>43</v>
      </c>
      <c r="B26" s="486"/>
      <c r="C26" s="486"/>
      <c r="D26" s="486"/>
      <c r="E26" s="486"/>
      <c r="F26" s="486"/>
      <c r="G26" s="486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3" t="s">
        <v>3</v>
      </c>
      <c r="C46" s="493"/>
      <c r="D46" s="493"/>
      <c r="E46" s="493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0" t="s">
        <v>3</v>
      </c>
      <c r="C66" s="481"/>
      <c r="D66" s="481"/>
      <c r="E66" s="482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3" t="s">
        <v>3</v>
      </c>
      <c r="C82" s="484"/>
      <c r="D82" s="484"/>
      <c r="E82" s="485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3" t="s">
        <v>3</v>
      </c>
      <c r="C101" s="484"/>
      <c r="D101" s="484"/>
      <c r="E101" s="485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3" t="s">
        <v>3</v>
      </c>
      <c r="C117" s="484"/>
      <c r="D117" s="484"/>
      <c r="E117" s="485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3" t="s">
        <v>3</v>
      </c>
      <c r="C135" s="484"/>
      <c r="D135" s="484"/>
      <c r="E135" s="485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79" t="s">
        <v>3</v>
      </c>
      <c r="C146" s="479"/>
      <c r="D146" s="479"/>
      <c r="E146" s="479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79" t="s">
        <v>3</v>
      </c>
      <c r="C184" s="479"/>
      <c r="D184" s="479"/>
      <c r="E184" s="479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79" t="s">
        <v>3</v>
      </c>
      <c r="C194" s="479"/>
      <c r="D194" s="479"/>
      <c r="E194" s="479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79" t="s">
        <v>3</v>
      </c>
      <c r="C201" s="479"/>
      <c r="D201" s="479"/>
      <c r="E201" s="479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78" t="s">
        <v>41</v>
      </c>
      <c r="B204" s="478"/>
      <c r="C204" s="478"/>
      <c r="D204" s="478"/>
      <c r="E204" s="478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4" t="s">
        <v>280</v>
      </c>
      <c r="B1" s="494"/>
      <c r="C1" s="494"/>
      <c r="D1" s="494"/>
      <c r="E1" s="494"/>
      <c r="F1" s="494"/>
      <c r="G1" s="494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5" t="str">
        <f>'R'!C13</f>
        <v>“OPTIMIZACIÓN  DE COBERTURA METALICA Y TRIBUNA DE LA IE No. 550006 BELEN DE OSMA Y PARDO, PROVINCIA DE ANDAHUAYLAS-REGION APURIMAC"</v>
      </c>
      <c r="D9" s="495"/>
      <c r="E9" s="495"/>
      <c r="F9" s="495"/>
      <c r="G9" s="495"/>
    </row>
    <row r="10" spans="1:7" ht="13.8">
      <c r="A10" s="70"/>
      <c r="B10" s="29"/>
      <c r="C10" s="495"/>
      <c r="D10" s="495"/>
      <c r="E10" s="495"/>
      <c r="F10" s="495"/>
      <c r="G10" s="495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91" t="s">
        <v>282</v>
      </c>
      <c r="C19" s="492"/>
      <c r="D19" s="492"/>
      <c r="E19" s="492"/>
      <c r="F19" s="492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86" t="s">
        <v>42</v>
      </c>
      <c r="B23" s="487"/>
      <c r="C23" s="487"/>
      <c r="D23" s="487"/>
      <c r="E23" s="487"/>
      <c r="F23" s="487"/>
      <c r="G23" s="487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3" t="s">
        <v>3</v>
      </c>
      <c r="C38" s="484"/>
      <c r="D38" s="484"/>
      <c r="E38" s="485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7" t="s">
        <v>281</v>
      </c>
      <c r="B41" s="497"/>
      <c r="C41" s="497"/>
      <c r="D41" s="497"/>
      <c r="E41" s="497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3" t="s">
        <v>3</v>
      </c>
      <c r="C56" s="493"/>
      <c r="D56" s="493"/>
      <c r="E56" s="493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8" t="s">
        <v>3</v>
      </c>
      <c r="C68" s="498"/>
      <c r="D68" s="498"/>
      <c r="E68" s="498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79" t="s">
        <v>3</v>
      </c>
      <c r="C78" s="479"/>
      <c r="D78" s="479"/>
      <c r="E78" s="479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6" t="s">
        <v>3</v>
      </c>
      <c r="C89" s="496"/>
      <c r="D89" s="496"/>
      <c r="E89" s="496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6" t="s">
        <v>3</v>
      </c>
      <c r="C98" s="496"/>
      <c r="D98" s="496"/>
      <c r="E98" s="496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3" t="s">
        <v>3</v>
      </c>
      <c r="C109" s="493"/>
      <c r="D109" s="493"/>
      <c r="E109" s="493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79" t="s">
        <v>3</v>
      </c>
      <c r="C118" s="479"/>
      <c r="D118" s="479"/>
      <c r="E118" s="479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79" t="s">
        <v>3</v>
      </c>
      <c r="C127" s="479"/>
      <c r="D127" s="479"/>
      <c r="E127" s="479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79" t="s">
        <v>3</v>
      </c>
      <c r="C154" s="479"/>
      <c r="D154" s="479"/>
      <c r="E154" s="479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3" t="s">
        <v>3</v>
      </c>
      <c r="C162" s="484"/>
      <c r="D162" s="484"/>
      <c r="E162" s="485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3" t="s">
        <v>3</v>
      </c>
      <c r="C175" s="484"/>
      <c r="D175" s="484"/>
      <c r="E175" s="485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7" t="s">
        <v>284</v>
      </c>
      <c r="B178" s="497"/>
      <c r="C178" s="497"/>
      <c r="D178" s="497"/>
      <c r="E178" s="497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1" t="s">
        <v>76</v>
      </c>
      <c r="C18" s="492"/>
      <c r="D18" s="492"/>
      <c r="E18" s="492"/>
      <c r="F18" s="492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93" t="s">
        <v>3</v>
      </c>
      <c r="C40" s="493"/>
      <c r="D40" s="493"/>
      <c r="E40" s="493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8" t="s">
        <v>3</v>
      </c>
      <c r="C53" s="498"/>
      <c r="D53" s="498"/>
      <c r="E53" s="498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79" t="s">
        <v>3</v>
      </c>
      <c r="C63" s="479"/>
      <c r="D63" s="479"/>
      <c r="E63" s="479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79" t="s">
        <v>3</v>
      </c>
      <c r="C106" s="479"/>
      <c r="D106" s="479"/>
      <c r="E106" s="479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79" t="s">
        <v>3</v>
      </c>
      <c r="C114" s="479"/>
      <c r="D114" s="479"/>
      <c r="E114" s="479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79" t="s">
        <v>3</v>
      </c>
      <c r="C138" s="479"/>
      <c r="D138" s="479"/>
      <c r="E138" s="479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79" t="s">
        <v>3</v>
      </c>
      <c r="C145" s="479"/>
      <c r="D145" s="479"/>
      <c r="E145" s="479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3" t="s">
        <v>3</v>
      </c>
      <c r="C156" s="484"/>
      <c r="D156" s="484"/>
      <c r="E156" s="485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7" t="s">
        <v>76</v>
      </c>
      <c r="B158" s="497"/>
      <c r="C158" s="497"/>
      <c r="D158" s="497"/>
      <c r="E158" s="497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1" t="s">
        <v>157</v>
      </c>
      <c r="C19" s="492"/>
      <c r="D19" s="492"/>
      <c r="E19" s="492"/>
      <c r="F19" s="492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6" t="s">
        <v>42</v>
      </c>
      <c r="B27" s="487"/>
      <c r="C27" s="487"/>
      <c r="D27" s="487"/>
      <c r="E27" s="487"/>
      <c r="F27" s="487"/>
      <c r="G27" s="487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6" t="s">
        <v>154</v>
      </c>
      <c r="B29" s="486"/>
      <c r="C29" s="486"/>
      <c r="D29" s="486"/>
      <c r="E29" s="486"/>
      <c r="F29" s="486"/>
      <c r="G29" s="486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3" t="s">
        <v>3</v>
      </c>
      <c r="C44" s="493"/>
      <c r="D44" s="493"/>
      <c r="E44" s="493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8" t="s">
        <v>3</v>
      </c>
      <c r="C56" s="498"/>
      <c r="D56" s="498"/>
      <c r="E56" s="498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79" t="s">
        <v>3</v>
      </c>
      <c r="C66" s="479"/>
      <c r="D66" s="479"/>
      <c r="E66" s="479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6" t="s">
        <v>3</v>
      </c>
      <c r="C77" s="496"/>
      <c r="D77" s="496"/>
      <c r="E77" s="496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6" t="s">
        <v>3</v>
      </c>
      <c r="C86" s="496"/>
      <c r="D86" s="496"/>
      <c r="E86" s="496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3" t="s">
        <v>3</v>
      </c>
      <c r="C97" s="493"/>
      <c r="D97" s="493"/>
      <c r="E97" s="493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79" t="s">
        <v>3</v>
      </c>
      <c r="C106" s="479"/>
      <c r="D106" s="479"/>
      <c r="E106" s="479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9" t="s">
        <v>3</v>
      </c>
      <c r="C123" s="479"/>
      <c r="D123" s="479"/>
      <c r="E123" s="479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9" t="s">
        <v>3</v>
      </c>
      <c r="C132" s="479"/>
      <c r="D132" s="479"/>
      <c r="E132" s="479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3" t="s">
        <v>3</v>
      </c>
      <c r="C139" s="484"/>
      <c r="D139" s="484"/>
      <c r="E139" s="485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3" t="s">
        <v>3</v>
      </c>
      <c r="C151" s="484"/>
      <c r="D151" s="484"/>
      <c r="E151" s="485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7" t="s">
        <v>157</v>
      </c>
      <c r="B154" s="497"/>
      <c r="C154" s="497"/>
      <c r="D154" s="497"/>
      <c r="E154" s="497"/>
      <c r="F154" s="87" t="s">
        <v>0</v>
      </c>
      <c r="G154" s="164">
        <f>+G19</f>
        <v>17290.75</v>
      </c>
      <c r="I154" s="63">
        <f>RESUMEN!G27</f>
        <v>441339.28833333333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4" t="s">
        <v>169</v>
      </c>
      <c r="B1" s="494"/>
      <c r="C1" s="494"/>
      <c r="D1" s="494"/>
      <c r="E1" s="494"/>
      <c r="F1" s="494"/>
      <c r="G1" s="494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5" t="str">
        <f>'R'!C13</f>
        <v>“OPTIMIZACIÓN  DE COBERTURA METALICA Y TRIBUNA DE LA IE No. 550006 BELEN DE OSMA Y PARDO, PROVINCIA DE ANDAHUAYLAS-REGION APURIMAC"</v>
      </c>
      <c r="D9" s="495"/>
      <c r="E9" s="495"/>
      <c r="F9" s="495"/>
      <c r="G9" s="495"/>
    </row>
    <row r="10" spans="1:7" ht="18" customHeight="1">
      <c r="B10" s="29"/>
      <c r="C10" s="495"/>
      <c r="D10" s="495"/>
      <c r="E10" s="495"/>
      <c r="F10" s="495"/>
      <c r="G10" s="495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1" t="s">
        <v>263</v>
      </c>
      <c r="C18" s="492"/>
      <c r="D18" s="492"/>
      <c r="E18" s="492"/>
      <c r="F18" s="492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6" t="s">
        <v>42</v>
      </c>
      <c r="B22" s="487"/>
      <c r="C22" s="487"/>
      <c r="D22" s="487"/>
      <c r="E22" s="487"/>
      <c r="F22" s="487"/>
      <c r="G22" s="487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6" t="s">
        <v>261</v>
      </c>
      <c r="B24" s="486"/>
      <c r="C24" s="486"/>
      <c r="D24" s="486"/>
      <c r="E24" s="486"/>
      <c r="F24" s="486"/>
      <c r="G24" s="486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3" t="s">
        <v>3</v>
      </c>
      <c r="C37" s="493"/>
      <c r="D37" s="493"/>
      <c r="E37" s="493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8" t="s">
        <v>3</v>
      </c>
      <c r="C49" s="498"/>
      <c r="D49" s="498"/>
      <c r="E49" s="498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79" t="s">
        <v>3</v>
      </c>
      <c r="C59" s="479"/>
      <c r="D59" s="479"/>
      <c r="E59" s="479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3" t="s">
        <v>3</v>
      </c>
      <c r="C90" s="493"/>
      <c r="D90" s="493"/>
      <c r="E90" s="493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79" t="s">
        <v>3</v>
      </c>
      <c r="C176" s="479"/>
      <c r="D176" s="479"/>
      <c r="E176" s="479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79" t="s">
        <v>3</v>
      </c>
      <c r="C186" s="479"/>
      <c r="D186" s="479"/>
      <c r="E186" s="479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3" t="s">
        <v>3</v>
      </c>
      <c r="C197" s="484"/>
      <c r="D197" s="484"/>
      <c r="E197" s="485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7" t="s">
        <v>262</v>
      </c>
      <c r="B200" s="497"/>
      <c r="C200" s="497"/>
      <c r="D200" s="497"/>
      <c r="E200" s="497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E17" sqref="E17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654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1" t="s">
        <v>589</v>
      </c>
      <c r="C19" s="492"/>
      <c r="D19" s="492"/>
      <c r="E19" s="492"/>
      <c r="F19" s="492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6" t="s">
        <v>42</v>
      </c>
      <c r="B27" s="487"/>
      <c r="C27" s="487"/>
      <c r="D27" s="487"/>
      <c r="E27" s="487"/>
      <c r="F27" s="487"/>
      <c r="G27" s="487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6" t="s">
        <v>588</v>
      </c>
      <c r="B29" s="486"/>
      <c r="C29" s="486"/>
      <c r="D29" s="486"/>
      <c r="E29" s="486"/>
      <c r="F29" s="486"/>
      <c r="G29" s="486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3" t="s">
        <v>3</v>
      </c>
      <c r="C44" s="493"/>
      <c r="D44" s="493"/>
      <c r="E44" s="493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8" t="s">
        <v>3</v>
      </c>
      <c r="C56" s="498"/>
      <c r="D56" s="498"/>
      <c r="E56" s="498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79" t="s">
        <v>3</v>
      </c>
      <c r="C66" s="479"/>
      <c r="D66" s="479"/>
      <c r="E66" s="479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6" t="s">
        <v>3</v>
      </c>
      <c r="C77" s="496"/>
      <c r="D77" s="496"/>
      <c r="E77" s="496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6" t="s">
        <v>3</v>
      </c>
      <c r="C86" s="496"/>
      <c r="D86" s="496"/>
      <c r="E86" s="496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3" t="s">
        <v>3</v>
      </c>
      <c r="C97" s="493"/>
      <c r="D97" s="493"/>
      <c r="E97" s="493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79" t="s">
        <v>3</v>
      </c>
      <c r="C106" s="479"/>
      <c r="D106" s="479"/>
      <c r="E106" s="479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9" t="s">
        <v>3</v>
      </c>
      <c r="C123" s="479"/>
      <c r="D123" s="479"/>
      <c r="E123" s="479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9" t="s">
        <v>3</v>
      </c>
      <c r="C132" s="479"/>
      <c r="D132" s="479"/>
      <c r="E132" s="479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3" t="s">
        <v>3</v>
      </c>
      <c r="C139" s="484"/>
      <c r="D139" s="484"/>
      <c r="E139" s="485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3" t="s">
        <v>3</v>
      </c>
      <c r="C151" s="484"/>
      <c r="D151" s="484"/>
      <c r="E151" s="485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7" t="s">
        <v>589</v>
      </c>
      <c r="B154" s="497"/>
      <c r="C154" s="497"/>
      <c r="D154" s="497"/>
      <c r="E154" s="497"/>
      <c r="F154" s="87" t="s">
        <v>0</v>
      </c>
      <c r="G154" s="164">
        <f>+G19</f>
        <v>15464.06</v>
      </c>
      <c r="I154" s="63">
        <f>RESUMEN!G27</f>
        <v>441339.28833333333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2020-09-14T17:03:00Z</cp:lastPrinted>
  <dcterms:created xsi:type="dcterms:W3CDTF">2003-01-21T17:07:22Z</dcterms:created>
  <dcterms:modified xsi:type="dcterms:W3CDTF">2020-09-28T23:09:13Z</dcterms:modified>
</cp:coreProperties>
</file>