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 751\Documents\GitHub\IOARR0009\7.0 DESAGREGADO DE GASTOS\"/>
    </mc:Choice>
  </mc:AlternateContent>
  <bookViews>
    <workbookView xWindow="-108" yWindow="-108" windowWidth="30936" windowHeight="16896" tabRatio="690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RESUMEN!$B$1:$G$36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52511"/>
</workbook>
</file>

<file path=xl/calcChain.xml><?xml version="1.0" encoding="utf-8"?>
<calcChain xmlns="http://schemas.openxmlformats.org/spreadsheetml/2006/main">
  <c r="G12" i="25" l="1"/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G141" i="12" s="1"/>
  <c r="E54" i="22"/>
  <c r="E87" i="22" s="1"/>
  <c r="E55" i="22"/>
  <c r="E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88" i="21"/>
  <c r="D92" i="11"/>
  <c r="F37" i="11"/>
  <c r="D108" i="11"/>
  <c r="D73" i="11"/>
  <c r="D134" i="11"/>
  <c r="D116" i="11"/>
  <c r="F45" i="11"/>
  <c r="D65" i="11"/>
  <c r="E107" i="22" l="1"/>
  <c r="E96" i="22"/>
  <c r="E76" i="22"/>
  <c r="F54" i="22"/>
  <c r="E66" i="22"/>
  <c r="G154" i="27"/>
  <c r="G19" i="25"/>
  <c r="F97" i="22"/>
  <c r="F98" i="22" s="1"/>
  <c r="E67" i="22"/>
  <c r="F67" i="22" s="1"/>
  <c r="E77" i="21"/>
  <c r="E47" i="21"/>
  <c r="F76" i="22"/>
  <c r="F35" i="21"/>
  <c r="F37" i="21" s="1"/>
  <c r="G28" i="21" s="1"/>
  <c r="E68" i="21"/>
  <c r="F68" i="21" s="1"/>
  <c r="F70" i="21" s="1"/>
  <c r="F47" i="21"/>
  <c r="F49" i="21" s="1"/>
  <c r="E88" i="22"/>
  <c r="F88" i="22" s="1"/>
  <c r="E108" i="22"/>
  <c r="E77" i="22"/>
  <c r="F77" i="22" s="1"/>
  <c r="F55" i="22"/>
  <c r="F96" i="22"/>
  <c r="D77" i="21"/>
  <c r="D88" i="21" s="1"/>
  <c r="F88" i="21" s="1"/>
  <c r="F90" i="21" s="1"/>
  <c r="G81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81" i="11" s="1"/>
  <c r="F97" i="11"/>
  <c r="E65" i="11"/>
  <c r="F65" i="11" s="1"/>
  <c r="F116" i="11"/>
  <c r="F114" i="11"/>
  <c r="F80" i="11"/>
  <c r="F115" i="11"/>
  <c r="F133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G187" i="11"/>
  <c r="G17" i="11" s="1"/>
  <c r="D18" i="10" s="1"/>
  <c r="F131" i="11"/>
  <c r="F83" i="12"/>
  <c r="F99" i="11"/>
  <c r="F113" i="11"/>
  <c r="F138" i="12"/>
  <c r="G108" i="12" s="1"/>
  <c r="F108" i="22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56" i="22" l="1"/>
  <c r="G47" i="22" s="1"/>
  <c r="F78" i="22"/>
  <c r="F109" i="22"/>
  <c r="G102" i="22" s="1"/>
  <c r="G100" i="22" s="1"/>
  <c r="F77" i="2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68" i="13"/>
  <c r="G103" i="13"/>
  <c r="C16" i="10"/>
  <c r="G45" i="22" l="1"/>
  <c r="G14" i="22" s="1"/>
  <c r="G68" i="16"/>
  <c r="G47" i="16"/>
  <c r="G33" i="16" s="1"/>
  <c r="G15" i="16" s="1"/>
  <c r="G19" i="16" s="1"/>
  <c r="G25" i="25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I16" i="10" l="1"/>
  <c r="I21" i="10" s="1"/>
  <c r="G28" i="12"/>
  <c r="G14" i="12" s="1"/>
  <c r="H16" i="10" s="1"/>
  <c r="H21" i="10" s="1"/>
  <c r="G471" i="13"/>
  <c r="G154" i="16"/>
  <c r="G28" i="11"/>
  <c r="G15" i="11" s="1"/>
  <c r="D16" i="10" s="1"/>
  <c r="E19" i="10" l="1"/>
  <c r="G18" i="12"/>
  <c r="G158" i="12" s="1"/>
  <c r="G24" i="25" s="1"/>
  <c r="G19" i="11"/>
  <c r="G13" i="25" s="1"/>
  <c r="G14" i="25" s="1"/>
  <c r="G16" i="25" s="1"/>
  <c r="D21" i="10"/>
  <c r="D22" i="10" s="1"/>
  <c r="G16" i="10"/>
  <c r="G21" i="25" l="1"/>
  <c r="E19" i="25"/>
  <c r="E24" i="25"/>
  <c r="J15" i="25"/>
  <c r="E13" i="25" s="1"/>
  <c r="J24" i="25"/>
  <c r="K19" i="11"/>
  <c r="K22" i="11" s="1"/>
  <c r="K25" i="11" s="1"/>
  <c r="G204" i="11"/>
  <c r="K16" i="10"/>
  <c r="G27" i="25" l="1"/>
  <c r="E23" i="25"/>
  <c r="E25" i="25"/>
  <c r="G19" i="10"/>
  <c r="I154" i="16" l="1"/>
  <c r="E21" i="10"/>
  <c r="K19" i="10"/>
  <c r="K21" i="10" s="1"/>
  <c r="L21" i="10" s="1"/>
  <c r="G21" i="10"/>
  <c r="B29" i="25"/>
  <c r="I154" i="27" l="1"/>
  <c r="H22" i="10"/>
  <c r="I22" i="10"/>
</calcChain>
</file>

<file path=xl/sharedStrings.xml><?xml version="1.0" encoding="utf-8"?>
<sst xmlns="http://schemas.openxmlformats.org/spreadsheetml/2006/main" count="2149" uniqueCount="654">
  <si>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</si>
  <si>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</si>
  <si>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</si>
  <si>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</si>
  <si>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</si>
  <si>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</si>
  <si>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</si>
  <si>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</si>
  <si>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</si>
  <si>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</si>
  <si>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</si>
  <si>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</si>
  <si>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</si>
  <si>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</si>
  <si>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</si>
  <si>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</si>
  <si>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</si>
  <si>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</si>
  <si>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</si>
  <si>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</si>
  <si>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</si>
  <si>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</si>
  <si>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</si>
  <si>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</si>
  <si>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</si>
  <si>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</si>
  <si>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</si>
  <si>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</si>
  <si>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</si>
  <si>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</si>
  <si>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</si>
  <si>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</si>
  <si>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</si>
  <si>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</si>
  <si>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</si>
  <si>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</si>
  <si>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</si>
  <si>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</si>
  <si>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</si>
  <si>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</si>
  <si>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</si>
  <si>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</si>
  <si>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</si>
  <si>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</si>
  <si>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</si>
  <si>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</si>
  <si>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</si>
  <si>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</si>
  <si>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</si>
  <si>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</si>
  <si>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</si>
  <si>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</si>
  <si>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</si>
  <si>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</si>
  <si>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</si>
  <si>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</si>
  <si>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</si>
  <si>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</si>
  <si>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</si>
  <si>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</si>
  <si>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</si>
  <si>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</si>
  <si>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</si>
  <si>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</si>
  <si>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</si>
  <si>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</si>
  <si>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</si>
  <si>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</si>
  <si>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</si>
  <si>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</si>
  <si>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</si>
  <si>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</si>
  <si>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</si>
  <si>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</si>
  <si>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</si>
  <si>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</si>
  <si>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</si>
  <si>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</si>
  <si>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</si>
  <si>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</si>
  <si>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</si>
  <si>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</si>
  <si>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</si>
  <si>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</si>
  <si>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</si>
  <si>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</si>
  <si>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</si>
  <si>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</si>
  <si>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</si>
  <si>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</si>
  <si>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</si>
  <si>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</si>
  <si>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</si>
  <si>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</si>
  <si>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</si>
  <si>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</si>
  <si>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</si>
  <si>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</si>
  <si>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</si>
  <si>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</si>
  <si>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</si>
  <si>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</si>
  <si>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</si>
  <si>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</si>
  <si>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</si>
  <si>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</si>
  <si>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</si>
  <si>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</si>
  <si>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</si>
  <si>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</si>
  <si>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</si>
  <si>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</si>
  <si>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</si>
  <si>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</si>
  <si>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</si>
  <si>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</si>
  <si>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</si>
  <si>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</si>
  <si>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</si>
  <si>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</si>
  <si>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</si>
  <si>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</si>
  <si>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</si>
  <si>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</si>
  <si>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</si>
  <si>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</si>
  <si>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</si>
  <si>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</si>
  <si>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</si>
  <si>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</si>
  <si>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</si>
  <si>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</si>
  <si>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</si>
  <si>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</si>
  <si>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</si>
  <si>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</si>
  <si>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</si>
  <si>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</si>
  <si>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</si>
  <si>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</si>
  <si>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</si>
  <si>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</si>
  <si>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</si>
  <si>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</si>
  <si>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</si>
  <si>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</si>
  <si>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</si>
  <si>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</si>
  <si>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</si>
  <si>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</si>
  <si>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</si>
  <si>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</si>
  <si>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</si>
  <si>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</si>
  <si>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</si>
  <si>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</si>
  <si>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</si>
  <si>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</si>
  <si>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</si>
  <si>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</si>
  <si>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</si>
  <si>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</si>
  <si>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</si>
  <si>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</si>
  <si>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</si>
  <si>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</si>
  <si>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</si>
  <si>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</si>
  <si>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</si>
  <si>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</si>
  <si>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</si>
  <si>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</si>
  <si>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</si>
  <si>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</si>
  <si>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</si>
  <si>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</si>
  <si>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</si>
  <si>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</si>
  <si>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</si>
  <si>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</si>
  <si>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</si>
  <si>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</si>
  <si>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</si>
  <si>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</si>
  <si>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</si>
  <si>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</si>
  <si>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</si>
  <si>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</si>
  <si>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</si>
  <si>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</si>
  <si>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</si>
  <si>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</si>
  <si>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</si>
  <si>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</si>
  <si>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</si>
  <si>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</si>
  <si>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</si>
  <si>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</si>
  <si>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</si>
  <si>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</si>
  <si>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</si>
  <si>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</si>
  <si>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</si>
  <si>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</si>
  <si>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</si>
  <si>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</si>
  <si>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</si>
  <si>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</si>
  <si>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</si>
  <si>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</si>
  <si>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</si>
  <si>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</si>
  <si>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</si>
  <si>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</si>
  <si>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</si>
  <si>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</si>
  <si>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</si>
  <si>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</si>
  <si>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</si>
  <si>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</si>
  <si>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</si>
  <si>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</si>
  <si>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</si>
  <si>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</si>
  <si>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</si>
  <si>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</si>
  <si>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</si>
  <si>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</si>
  <si>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</si>
  <si>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</si>
  <si>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</si>
  <si>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</si>
  <si>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</si>
  <si>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</si>
  <si>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</si>
  <si>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</si>
  <si>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</si>
  <si>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</si>
  <si>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</si>
  <si>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</si>
  <si>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</si>
  <si>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</si>
  <si>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</si>
  <si>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</si>
  <si>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</si>
  <si>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</si>
  <si>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</si>
  <si>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</si>
  <si>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</si>
  <si>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</si>
  <si>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</si>
  <si>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</si>
  <si>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</si>
  <si>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</si>
  <si>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</si>
  <si>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</si>
  <si>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</si>
  <si>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</si>
  <si>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</si>
  <si>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</si>
  <si>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</si>
  <si>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</si>
  <si>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</si>
  <si>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</si>
  <si>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</si>
  <si>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</si>
  <si>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</si>
  <si>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</si>
  <si>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</si>
  <si>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</si>
  <si>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</si>
  <si>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</si>
  <si>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</si>
  <si>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</si>
  <si>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</si>
  <si>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</si>
  <si>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</si>
  <si>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</si>
  <si>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</si>
  <si>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</si>
  <si>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</si>
  <si>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</si>
  <si>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</si>
  <si>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</si>
  <si>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</si>
  <si>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</si>
  <si>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</si>
  <si>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</si>
  <si>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</si>
  <si>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</si>
  <si>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</si>
  <si>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</si>
  <si>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</si>
  <si>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</si>
  <si>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</si>
  <si>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</si>
  <si>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</si>
  <si>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</si>
  <si>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</si>
  <si>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</si>
  <si>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</si>
  <si>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</si>
  <si>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</si>
  <si>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</si>
  <si>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</si>
  <si>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</si>
  <si>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</si>
  <si>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</si>
  <si>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</si>
  <si>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</si>
  <si>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</si>
  <si>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</si>
  <si>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</si>
  <si>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</si>
  <si>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</si>
  <si>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</si>
  <si>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</si>
  <si>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</si>
  <si>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</si>
  <si>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</si>
  <si>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</si>
  <si>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</si>
  <si>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</si>
  <si>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</si>
  <si>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</si>
  <si>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</si>
  <si>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</si>
  <si>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</si>
  <si>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</si>
  <si>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</si>
  <si>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</si>
  <si>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</si>
  <si>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</si>
  <si>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</si>
  <si>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</si>
  <si>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</si>
  <si>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</si>
  <si>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</si>
  <si>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</si>
  <si>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</si>
  <si>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</si>
  <si>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</si>
  <si>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</si>
  <si>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</si>
  <si>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</si>
  <si>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</si>
  <si>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</si>
  <si>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</si>
  <si>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</si>
  <si>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</si>
  <si>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</si>
  <si>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</si>
  <si>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</si>
  <si>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</si>
  <si>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</si>
  <si>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</si>
  <si>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</si>
  <si>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</si>
  <si>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</si>
  <si>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</si>
  <si>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</si>
  <si>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</si>
  <si>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</si>
  <si>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</si>
  <si>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</si>
  <si>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</si>
  <si>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</si>
  <si>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</si>
  <si>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</si>
  <si>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</si>
  <si>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</si>
  <si>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</si>
  <si>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</si>
  <si>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</si>
  <si>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</si>
  <si>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</si>
  <si>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</si>
  <si>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</si>
  <si>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</si>
  <si>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</si>
  <si>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</si>
  <si>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</si>
  <si>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</si>
  <si>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</si>
  <si>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</si>
  <si>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</si>
  <si>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</si>
  <si>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</si>
  <si>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</si>
  <si>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</si>
  <si>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</si>
  <si>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</si>
  <si>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</si>
  <si>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</si>
  <si>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</si>
  <si>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</si>
  <si>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</si>
  <si>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</si>
  <si>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</si>
  <si>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</si>
  <si>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</si>
  <si>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</si>
  <si>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</si>
  <si>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</si>
  <si>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</si>
  <si>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</si>
  <si>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</si>
  <si>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</si>
  <si>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</si>
  <si>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</si>
  <si>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</si>
  <si>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</si>
  <si>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</si>
  <si>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</si>
  <si>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</si>
  <si>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</si>
  <si>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</si>
  <si>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</si>
  <si>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</si>
  <si>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</si>
  <si>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</si>
  <si>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</si>
  <si>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</si>
  <si>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</si>
  <si>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</si>
  <si>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</si>
  <si>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</si>
  <si>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</si>
  <si>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</si>
  <si>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</si>
  <si>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</si>
  <si>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</si>
  <si>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</si>
  <si>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</si>
  <si>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</si>
  <si>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</si>
  <si>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</si>
  <si>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</si>
  <si>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</si>
  <si>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</si>
  <si>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</si>
  <si>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</si>
  <si>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</si>
  <si>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</si>
  <si>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</si>
  <si>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</si>
  <si>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</si>
  <si>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</si>
  <si>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</si>
  <si>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</si>
  <si>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</si>
  <si>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</si>
  <si>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</si>
  <si>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</si>
  <si>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</si>
  <si>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</si>
  <si>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</si>
  <si>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</si>
  <si>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</si>
  <si>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</si>
  <si>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</si>
  <si>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</si>
  <si>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</si>
  <si>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</si>
  <si>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</si>
  <si>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</si>
  <si>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</si>
  <si>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</si>
  <si>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</si>
  <si>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</si>
  <si>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</si>
  <si>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</si>
  <si>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</si>
  <si>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</si>
  <si>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</si>
  <si>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</si>
  <si>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</si>
  <si>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</si>
  <si>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</si>
  <si>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</si>
  <si>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</si>
  <si>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</si>
  <si>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</si>
  <si>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</si>
  <si>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</si>
  <si>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</si>
  <si>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</si>
  <si>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</si>
  <si>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</si>
  <si>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</si>
  <si>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</si>
  <si>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</si>
  <si>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</si>
  <si>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</si>
  <si>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</si>
  <si>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</si>
  <si>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</si>
  <si>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</si>
  <si>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</si>
  <si>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</si>
  <si>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</si>
  <si>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</si>
  <si>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</si>
  <si>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</si>
  <si>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</si>
  <si>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</si>
  <si>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</si>
  <si>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</si>
  <si>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</si>
  <si>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</si>
  <si>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</si>
  <si>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</si>
  <si>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</si>
  <si>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</si>
  <si>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</si>
  <si>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</si>
  <si>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</si>
  <si>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</si>
  <si>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</si>
  <si>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</si>
  <si>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</si>
  <si>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</si>
  <si>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</si>
  <si>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</si>
  <si>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</si>
  <si>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</si>
  <si>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</si>
  <si>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</si>
  <si>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</si>
  <si>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</si>
  <si>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</si>
  <si>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</si>
  <si>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</si>
  <si>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</si>
  <si>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</si>
  <si>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</si>
  <si>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</si>
  <si>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</si>
  <si>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</si>
  <si>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</si>
  <si>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</si>
  <si>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</si>
  <si>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</si>
  <si>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</si>
  <si>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</si>
  <si>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</si>
  <si>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</si>
  <si>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</si>
  <si>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</si>
  <si>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</si>
  <si>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</si>
  <si>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</si>
  <si>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</si>
  <si>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</si>
  <si>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</si>
  <si>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</si>
  <si>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</si>
  <si>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</si>
  <si>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</si>
  <si>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</si>
  <si>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</si>
  <si>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</si>
  <si>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</si>
  <si>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</si>
  <si>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</si>
  <si>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</si>
  <si>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</si>
  <si>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</si>
  <si>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</si>
  <si>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</si>
  <si>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</si>
  <si>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</si>
  <si>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</si>
  <si>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</si>
  <si>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</si>
  <si>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</si>
  <si>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</si>
  <si>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</si>
  <si>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</si>
  <si>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</si>
  <si>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</si>
  <si>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</si>
  <si>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</si>
  <si>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</si>
  <si>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</si>
  <si>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</si>
  <si>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</si>
  <si>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</si>
  <si>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</si>
  <si>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</si>
  <si>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</si>
  <si>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</si>
  <si>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</si>
  <si>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</si>
  <si>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</si>
  <si>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</si>
  <si>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</si>
  <si>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</si>
  <si>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</si>
  <si>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</si>
  <si>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</si>
  <si>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</si>
  <si>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</si>
  <si>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</si>
  <si>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</si>
  <si>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</si>
  <si>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</si>
  <si>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</si>
  <si>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</si>
  <si>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</si>
  <si>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</si>
  <si>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</si>
  <si>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</si>
  <si>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</si>
  <si>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</si>
  <si>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</si>
  <si>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</si>
  <si>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</si>
  <si>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</si>
  <si>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</si>
  <si>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</si>
  <si>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</si>
  <si>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</si>
  <si>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</si>
  <si>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</si>
  <si>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</si>
  <si>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</si>
  <si>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</si>
  <si>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</si>
  <si>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</si>
  <si>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</si>
  <si>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</si>
  <si>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</si>
  <si>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</si>
  <si>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</si>
  <si>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</si>
  <si>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</si>
  <si>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</si>
  <si>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</si>
  <si>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</si>
  <si>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</si>
  <si>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</si>
  <si>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</si>
  <si>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</si>
  <si>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</si>
  <si>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</si>
  <si>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</si>
  <si>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</si>
  <si>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</si>
  <si>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</si>
  <si>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</si>
  <si>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</si>
  <si>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</si>
  <si>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IOARR “OPTIMIZACION MEDIANTE COBERTURA DE LA LOSA DEPORTIVA MULTIUSO DE LA INSTITUCIÓN EDUCATIVA SECUNDARIA "FRAY DIEGO ORTIZ" PROGRESO,  DISTRITO PROGRESO,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</si>
</sst>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1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09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2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2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2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2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2" fontId="67" fillId="11" borderId="37" xfId="0" applyNumberFormat="1" applyFont="1" applyFill="1" applyBorder="1" applyAlignment="1">
      <alignment horizontal="center"/>
    </xf>
    <xf numFmtId="172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8" xfId="0" applyFont="1" applyBorder="1"/>
    <xf numFmtId="0" fontId="56" fillId="0" borderId="25" xfId="0" applyFont="1" applyBorder="1"/>
    <xf numFmtId="0" fontId="56" fillId="0" borderId="39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3" fontId="0" fillId="0" borderId="0" xfId="0" applyNumberFormat="1"/>
    <xf numFmtId="166" fontId="1" fillId="0" borderId="0" xfId="0" applyNumberFormat="1" applyFont="1" applyFill="1" applyAlignment="1" applyProtection="1">
      <alignment horizontal="left" vertical="center"/>
    </xf>
    <xf numFmtId="172" fontId="56" fillId="11" borderId="0" xfId="0" applyNumberFormat="1" applyFont="1" applyFill="1" applyBorder="1" applyAlignment="1">
      <alignment horizontal="center"/>
    </xf>
    <xf numFmtId="0" fontId="70" fillId="11" borderId="45" xfId="0" applyFont="1" applyFill="1" applyBorder="1" applyAlignment="1">
      <alignment horizontal="center" vertical="center" wrapText="1"/>
    </xf>
    <xf numFmtId="0" fontId="70" fillId="11" borderId="46" xfId="0" applyFont="1" applyFill="1" applyBorder="1" applyAlignment="1">
      <alignment horizontal="center" vertical="center" wrapText="1"/>
    </xf>
    <xf numFmtId="0" fontId="70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5" xfId="0" applyFont="1" applyBorder="1" applyAlignment="1">
      <alignment horizontal="center" vertical="center" wrapText="1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8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2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4" fontId="15" fillId="0" borderId="3" xfId="0" applyNumberFormat="1" applyFont="1" applyFill="1" applyBorder="1" applyAlignment="1" applyProtection="1">
      <alignment horizontal="center" vertical="center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xmlns="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9"/>
  <sheetViews>
    <sheetView tabSelected="1" view="pageBreakPreview" zoomScaleNormal="100" zoomScaleSheetLayoutView="100" workbookViewId="0">
      <selection activeCell="G3" sqref="G3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ht="84.6" customHeight="1">
      <c r="B1" s="436" t="s">
        <v>653</v>
      </c>
      <c r="C1" s="437"/>
      <c r="D1" s="437"/>
      <c r="E1" s="437"/>
      <c r="F1" s="437"/>
      <c r="G1" s="438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6">
      <c r="B3" s="366"/>
      <c r="C3" s="369" t="s">
        <v>652</v>
      </c>
      <c r="D3" s="370"/>
      <c r="E3" s="370"/>
      <c r="F3" s="367"/>
      <c r="G3" s="371"/>
      <c r="H3" s="362"/>
    </row>
    <row r="4" spans="2:10" ht="18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6">
      <c r="B6" s="366"/>
      <c r="C6" s="379" t="s">
        <v>374</v>
      </c>
      <c r="D6" s="375"/>
      <c r="E6" s="375"/>
      <c r="F6" s="380"/>
      <c r="G6" s="381">
        <v>304368.19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2.8">
      <c r="B8" s="366"/>
      <c r="C8" s="439" t="s">
        <v>375</v>
      </c>
      <c r="D8" s="439"/>
      <c r="E8" s="439"/>
      <c r="F8" s="439"/>
      <c r="G8" s="440"/>
      <c r="H8" s="384"/>
      <c r="I8" s="385"/>
    </row>
    <row r="9" spans="2:10" ht="15.6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3.8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304368.19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304368.19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0.20699999999999999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367385.97333333333</v>
      </c>
      <c r="H14" s="403"/>
      <c r="I14" s="408"/>
    </row>
    <row r="15" spans="2:10" ht="15.6">
      <c r="B15" s="366"/>
      <c r="C15" s="367"/>
      <c r="D15" s="409"/>
      <c r="E15" s="409"/>
      <c r="F15" s="410"/>
      <c r="G15" s="411"/>
      <c r="H15" s="362"/>
      <c r="I15" s="412"/>
      <c r="J15">
        <f>G13/G12</f>
        <v>0.20704457759969372</v>
      </c>
    </row>
    <row r="16" spans="2:10" ht="15.6">
      <c r="B16" s="366"/>
      <c r="C16" s="413"/>
      <c r="D16" s="414" t="s">
        <v>651</v>
      </c>
      <c r="E16" s="414"/>
      <c r="F16" s="415"/>
      <c r="G16" s="416">
        <f>G14</f>
        <v>367385.97333333333</v>
      </c>
      <c r="H16" s="362"/>
    </row>
    <row r="17" spans="2:10">
      <c r="B17" s="366"/>
      <c r="C17" s="367"/>
      <c r="D17" s="367"/>
      <c r="E17" s="367"/>
      <c r="F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F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4.2092135036329456E-2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6">
      <c r="B21" s="366"/>
      <c r="C21" s="413"/>
      <c r="D21" s="418" t="s">
        <v>650</v>
      </c>
      <c r="E21" s="418"/>
      <c r="F21" s="419"/>
      <c r="G21" s="420">
        <f>G16+G19+0.005</f>
        <v>382850.03833333333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2.6119887681174452E-2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6.5199157635363603E-2</v>
      </c>
      <c r="F24" s="367"/>
      <c r="G24" s="402">
        <f>Supervision!G158</f>
        <v>24961.5</v>
      </c>
      <c r="H24" s="362"/>
      <c r="I24" s="363"/>
      <c r="J24" s="433">
        <f>G24/G16</f>
        <v>6.794353027014495E-2</v>
      </c>
    </row>
    <row r="25" spans="2:10">
      <c r="B25" s="366"/>
      <c r="C25" s="367"/>
      <c r="D25" s="399" t="s">
        <v>138</v>
      </c>
      <c r="E25" s="400">
        <f>G25/G21</f>
        <v>4.5163244792326716E-2</v>
      </c>
      <c r="F25" s="367"/>
      <c r="G25" s="435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7.399999999999999">
      <c r="B27" s="366"/>
      <c r="C27" s="413"/>
      <c r="D27" s="418" t="s">
        <v>381</v>
      </c>
      <c r="E27" s="418"/>
      <c r="F27" s="419"/>
      <c r="G27" s="421">
        <f>G21+G23+G24+G25</f>
        <v>435102.28833333333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 ht="12.75" customHeight="1">
      <c r="B29" s="441" t="str">
        <f>CONCATENATE("SON : ",letra(G27)," NUEVOS SOLES")</f>
        <v>SON : CUATROCIENTOS TREINTA Y CINCO MIL CIENTO DOS CON 29/100 NUEVOS SOLES</v>
      </c>
      <c r="C29" s="442"/>
      <c r="D29" s="442"/>
      <c r="E29" s="442"/>
      <c r="F29" s="442"/>
      <c r="G29" s="443"/>
      <c r="H29" s="362"/>
      <c r="I29" s="363"/>
    </row>
    <row r="30" spans="2:10" ht="12.75" customHeight="1">
      <c r="B30" s="444"/>
      <c r="C30" s="445"/>
      <c r="D30" s="445"/>
      <c r="E30" s="445"/>
      <c r="F30" s="445"/>
      <c r="G30" s="446"/>
      <c r="H30" s="362"/>
      <c r="I30" s="363"/>
    </row>
    <row r="31" spans="2:10" ht="13.5" customHeight="1" thickBot="1">
      <c r="B31" s="447"/>
      <c r="C31" s="448"/>
      <c r="D31" s="448"/>
      <c r="E31" s="448"/>
      <c r="F31" s="448"/>
      <c r="G31" s="449"/>
      <c r="H31" s="362"/>
      <c r="I31" s="363"/>
    </row>
    <row r="32" spans="2:10">
      <c r="B32" s="426"/>
      <c r="C32" s="426"/>
      <c r="D32" s="426"/>
      <c r="E32" s="426"/>
      <c r="F32" s="426"/>
      <c r="G32" s="426"/>
      <c r="H32" s="362"/>
      <c r="I32" s="363"/>
    </row>
    <row r="33" spans="1:7">
      <c r="A33" s="363"/>
      <c r="B33" s="426"/>
      <c r="C33" s="427"/>
      <c r="D33" s="426"/>
      <c r="E33" s="426"/>
      <c r="F33" s="426"/>
      <c r="G33" s="426"/>
    </row>
    <row r="34" spans="1:7">
      <c r="B34" s="426"/>
      <c r="C34" s="427"/>
      <c r="D34" s="426"/>
      <c r="E34" s="426"/>
      <c r="F34" s="426"/>
      <c r="G34" s="426"/>
    </row>
    <row r="35" spans="1:7">
      <c r="C35" s="427"/>
    </row>
    <row r="36" spans="1:7">
      <c r="C36" s="427"/>
      <c r="D36" s="362"/>
    </row>
    <row r="37" spans="1:7">
      <c r="D37" s="362"/>
    </row>
    <row r="39" spans="1:7">
      <c r="G39" s="405"/>
    </row>
  </sheetData>
  <mergeCells count="3">
    <mergeCell ref="B1:G1"/>
    <mergeCell ref="C8:G8"/>
    <mergeCell ref="B29:G31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50" t="s">
        <v>1</v>
      </c>
      <c r="B3" s="451"/>
      <c r="C3" s="451"/>
      <c r="D3" s="451"/>
      <c r="E3" s="451"/>
      <c r="F3" s="451"/>
      <c r="G3" s="451"/>
      <c r="H3" s="451"/>
      <c r="I3" s="451"/>
      <c r="J3" s="451"/>
      <c r="K3" s="452"/>
    </row>
    <row r="4" spans="1:11" s="18" customFormat="1" ht="27" customHeight="1">
      <c r="A4" s="453" t="s">
        <v>125</v>
      </c>
      <c r="B4" s="454"/>
      <c r="C4" s="454"/>
      <c r="D4" s="454"/>
      <c r="E4" s="454"/>
      <c r="F4" s="454"/>
      <c r="G4" s="454"/>
      <c r="H4" s="454"/>
      <c r="I4" s="454"/>
      <c r="J4" s="454"/>
      <c r="K4" s="455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1" t="s">
        <v>325</v>
      </c>
      <c r="B7" s="461"/>
      <c r="C7" s="461"/>
      <c r="D7" s="461"/>
      <c r="E7" s="461"/>
      <c r="F7" s="461"/>
      <c r="G7" s="461"/>
      <c r="H7" s="461"/>
      <c r="I7" s="461"/>
      <c r="J7" s="461"/>
      <c r="K7" s="461"/>
    </row>
    <row r="8" spans="1:11" s="18" customFormat="1" ht="42" customHeight="1">
      <c r="A8" s="462" t="s">
        <v>648</v>
      </c>
      <c r="B8" s="462"/>
      <c r="C8" s="462"/>
      <c r="D8" s="462"/>
      <c r="E8" s="462"/>
      <c r="F8" s="462"/>
      <c r="G8" s="462"/>
      <c r="H8" s="462"/>
      <c r="I8" s="462"/>
      <c r="J8" s="462"/>
      <c r="K8" s="462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4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0" t="str">
        <f>+A8</f>
        <v>“OPTIMIZACIÓN  DE COBERTURA METALICA Y TRIBUNA DE LA IE No. 550006 BELEN DE OSMA Y PARDO, PROVINCIA DE ANDAHUAYLAS-REGION APURIMAC"</v>
      </c>
      <c r="D13" s="460"/>
      <c r="E13" s="460"/>
      <c r="F13" s="460"/>
      <c r="G13" s="460"/>
      <c r="H13" s="460"/>
      <c r="I13" s="460"/>
      <c r="J13" s="460"/>
      <c r="K13" s="460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56" t="s">
        <v>3</v>
      </c>
      <c r="B21" s="457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58" t="s">
        <v>84</v>
      </c>
      <c r="B22" s="459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75" t="s">
        <v>70</v>
      </c>
      <c r="B3" s="475"/>
      <c r="C3" s="475"/>
      <c r="D3" s="475"/>
      <c r="E3" s="475"/>
      <c r="F3" s="475"/>
      <c r="G3" s="475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0" t="str">
        <f>+'R'!C13</f>
        <v>“OPTIMIZACIÓN  DE COBERTURA METALICA Y TRIBUNA DE LA IE No. 550006 BELEN DE OSMA Y PARDO, PROVINCIA DE ANDAHUAYLAS-REGION APURIMAC"</v>
      </c>
      <c r="D11" s="460"/>
      <c r="E11" s="460"/>
      <c r="F11" s="460"/>
      <c r="G11" s="460"/>
      <c r="H11" s="179"/>
    </row>
    <row r="12" spans="1:8" ht="18" customHeight="1">
      <c r="A12" s="28"/>
      <c r="B12" s="296"/>
      <c r="C12" s="460"/>
      <c r="D12" s="460"/>
      <c r="E12" s="460"/>
      <c r="F12" s="460"/>
      <c r="G12" s="460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0" t="s">
        <v>37</v>
      </c>
      <c r="D15" s="471"/>
      <c r="E15" s="471"/>
      <c r="F15" s="472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77" t="s">
        <v>73</v>
      </c>
      <c r="C20" s="471"/>
      <c r="D20" s="471"/>
      <c r="E20" s="471"/>
      <c r="F20" s="472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1" t="s">
        <v>42</v>
      </c>
      <c r="B26" s="476"/>
      <c r="C26" s="476"/>
      <c r="D26" s="476"/>
      <c r="E26" s="476"/>
      <c r="F26" s="476"/>
      <c r="G26" s="476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1" t="s">
        <v>10</v>
      </c>
      <c r="B28" s="461"/>
      <c r="C28" s="461"/>
      <c r="D28" s="461"/>
      <c r="E28" s="461"/>
      <c r="F28" s="461"/>
      <c r="G28" s="461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9" t="s">
        <v>307</v>
      </c>
      <c r="C38" s="61" t="s">
        <v>156</v>
      </c>
      <c r="D38" s="428">
        <v>64.400000000000006</v>
      </c>
      <c r="E38" s="428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9" t="s">
        <v>295</v>
      </c>
      <c r="C39" s="61" t="s">
        <v>156</v>
      </c>
      <c r="D39" s="428">
        <v>18235.745800000001</v>
      </c>
      <c r="E39" s="428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9" t="s">
        <v>135</v>
      </c>
      <c r="C40" s="61" t="s">
        <v>156</v>
      </c>
      <c r="D40" s="428">
        <v>7294.7867999999999</v>
      </c>
      <c r="E40" s="428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9" t="s">
        <v>136</v>
      </c>
      <c r="C41" s="61" t="s">
        <v>156</v>
      </c>
      <c r="D41" s="428">
        <v>25441.623100000001</v>
      </c>
      <c r="E41" s="428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67" t="s">
        <v>3</v>
      </c>
      <c r="C52" s="468"/>
      <c r="D52" s="468"/>
      <c r="E52" s="469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67" t="s">
        <v>3</v>
      </c>
      <c r="C62" s="468"/>
      <c r="D62" s="468"/>
      <c r="E62" s="469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67" t="s">
        <v>3</v>
      </c>
      <c r="C76" s="468"/>
      <c r="D76" s="468"/>
      <c r="E76" s="469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67" t="s">
        <v>3</v>
      </c>
      <c r="C87" s="468"/>
      <c r="D87" s="468"/>
      <c r="E87" s="469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67" t="s">
        <v>3</v>
      </c>
      <c r="C99" s="468"/>
      <c r="D99" s="468"/>
      <c r="E99" s="469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67" t="s">
        <v>3</v>
      </c>
      <c r="C111" s="468"/>
      <c r="D111" s="468"/>
      <c r="E111" s="469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67" t="s">
        <v>3</v>
      </c>
      <c r="C121" s="468"/>
      <c r="D121" s="468"/>
      <c r="E121" s="469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67" t="s">
        <v>3</v>
      </c>
      <c r="C131" s="468"/>
      <c r="D131" s="468"/>
      <c r="E131" s="469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63" t="s">
        <v>3</v>
      </c>
      <c r="C140" s="464"/>
      <c r="D140" s="464"/>
      <c r="E140" s="465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63" t="s">
        <v>3</v>
      </c>
      <c r="C152" s="464"/>
      <c r="D152" s="464"/>
      <c r="E152" s="465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63" t="s">
        <v>3</v>
      </c>
      <c r="C434" s="464"/>
      <c r="D434" s="464"/>
      <c r="E434" s="465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63" t="s">
        <v>3</v>
      </c>
      <c r="C459" s="464"/>
      <c r="D459" s="464"/>
      <c r="E459" s="465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63" t="s">
        <v>3</v>
      </c>
      <c r="C467" s="464"/>
      <c r="D467" s="464"/>
      <c r="E467" s="465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73" t="s">
        <v>73</v>
      </c>
      <c r="B471" s="473"/>
      <c r="C471" s="473"/>
      <c r="D471" s="473"/>
      <c r="E471" s="473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73"/>
      <c r="C475" s="474"/>
      <c r="D475" s="474"/>
      <c r="E475" s="474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73"/>
      <c r="B479" s="473"/>
      <c r="C479" s="473"/>
      <c r="D479" s="473"/>
      <c r="E479" s="473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66"/>
      <c r="B486" s="466"/>
      <c r="C486" s="466"/>
      <c r="D486" s="466"/>
      <c r="E486" s="466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76:E76"/>
    <mergeCell ref="A3:G3"/>
    <mergeCell ref="B87:E87"/>
    <mergeCell ref="A26:G26"/>
    <mergeCell ref="B131:E131"/>
    <mergeCell ref="B121:E121"/>
    <mergeCell ref="B20:F20"/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topLeftCell="A7" zoomScale="90" zoomScaleNormal="85" zoomScaleSheetLayoutView="90" zoomScalePageLayoutView="75" workbookViewId="0">
      <selection activeCell="F23" sqref="F23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80" t="s">
        <v>68</v>
      </c>
      <c r="B3" s="480"/>
      <c r="C3" s="480"/>
      <c r="D3" s="480"/>
      <c r="E3" s="480"/>
      <c r="F3" s="480"/>
      <c r="G3" s="480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81" t="s">
        <v>653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83" t="s">
        <v>37</v>
      </c>
      <c r="D14" s="483"/>
      <c r="E14" s="483"/>
      <c r="F14" s="483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84" t="s">
        <v>41</v>
      </c>
      <c r="C19" s="485"/>
      <c r="D19" s="485"/>
      <c r="E19" s="485"/>
      <c r="F19" s="485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78" t="s">
        <v>42</v>
      </c>
      <c r="B24" s="479"/>
      <c r="C24" s="479"/>
      <c r="D24" s="479"/>
      <c r="E24" s="479"/>
      <c r="F24" s="479"/>
      <c r="G24" s="479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78" t="s">
        <v>43</v>
      </c>
      <c r="B26" s="478"/>
      <c r="C26" s="478"/>
      <c r="D26" s="478"/>
      <c r="E26" s="478"/>
      <c r="F26" s="478"/>
      <c r="G26" s="478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86" t="s">
        <v>3</v>
      </c>
      <c r="C46" s="486"/>
      <c r="D46" s="486"/>
      <c r="E46" s="486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88" t="s">
        <v>3</v>
      </c>
      <c r="C66" s="489"/>
      <c r="D66" s="489"/>
      <c r="E66" s="490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91" t="s">
        <v>3</v>
      </c>
      <c r="C82" s="492"/>
      <c r="D82" s="492"/>
      <c r="E82" s="493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91" t="s">
        <v>3</v>
      </c>
      <c r="C101" s="492"/>
      <c r="D101" s="492"/>
      <c r="E101" s="493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91" t="s">
        <v>3</v>
      </c>
      <c r="C117" s="492"/>
      <c r="D117" s="492"/>
      <c r="E117" s="493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91" t="s">
        <v>3</v>
      </c>
      <c r="C135" s="492"/>
      <c r="D135" s="492"/>
      <c r="E135" s="493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2" t="s">
        <v>3</v>
      </c>
      <c r="C146" s="482"/>
      <c r="D146" s="482"/>
      <c r="E146" s="482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2" t="s">
        <v>3</v>
      </c>
      <c r="C184" s="482"/>
      <c r="D184" s="482"/>
      <c r="E184" s="482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2" t="s">
        <v>3</v>
      </c>
      <c r="C194" s="482"/>
      <c r="D194" s="482"/>
      <c r="E194" s="482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2" t="s">
        <v>3</v>
      </c>
      <c r="C201" s="482"/>
      <c r="D201" s="482"/>
      <c r="E201" s="482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87" t="s">
        <v>41</v>
      </c>
      <c r="B204" s="487"/>
      <c r="C204" s="487"/>
      <c r="D204" s="487"/>
      <c r="E204" s="487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  <mergeCell ref="A26:G26"/>
    <mergeCell ref="A24:G24"/>
    <mergeCell ref="A3:G3"/>
    <mergeCell ref="C10:G11"/>
    <mergeCell ref="B201:E201"/>
    <mergeCell ref="C14:F14"/>
    <mergeCell ref="B19:F19"/>
    <mergeCell ref="B46:E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97" t="s">
        <v>280</v>
      </c>
      <c r="B1" s="497"/>
      <c r="C1" s="497"/>
      <c r="D1" s="497"/>
      <c r="E1" s="497"/>
      <c r="F1" s="497"/>
      <c r="G1" s="497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98" t="str">
        <f>'R'!C13</f>
        <v>“OPTIMIZACIÓN  DE COBERTURA METALICA Y TRIBUNA DE LA IE No. 550006 BELEN DE OSMA Y PARDO, PROVINCIA DE ANDAHUAYLAS-REGION APURIMAC"</v>
      </c>
      <c r="D9" s="498"/>
      <c r="E9" s="498"/>
      <c r="F9" s="498"/>
      <c r="G9" s="498"/>
    </row>
    <row r="10" spans="1:7" ht="13.8">
      <c r="A10" s="70"/>
      <c r="B10" s="29"/>
      <c r="C10" s="498"/>
      <c r="D10" s="498"/>
      <c r="E10" s="498"/>
      <c r="F10" s="498"/>
      <c r="G10" s="498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83" t="s">
        <v>37</v>
      </c>
      <c r="D13" s="483"/>
      <c r="E13" s="483"/>
      <c r="F13" s="483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84" t="s">
        <v>282</v>
      </c>
      <c r="C19" s="485"/>
      <c r="D19" s="485"/>
      <c r="E19" s="485"/>
      <c r="F19" s="485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78" t="s">
        <v>42</v>
      </c>
      <c r="B23" s="479"/>
      <c r="C23" s="479"/>
      <c r="D23" s="479"/>
      <c r="E23" s="479"/>
      <c r="F23" s="479"/>
      <c r="G23" s="479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91" t="s">
        <v>3</v>
      </c>
      <c r="C38" s="492"/>
      <c r="D38" s="492"/>
      <c r="E38" s="493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95" t="s">
        <v>281</v>
      </c>
      <c r="B41" s="495"/>
      <c r="C41" s="495"/>
      <c r="D41" s="495"/>
      <c r="E41" s="495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86" t="s">
        <v>3</v>
      </c>
      <c r="C56" s="486"/>
      <c r="D56" s="486"/>
      <c r="E56" s="486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96" t="s">
        <v>3</v>
      </c>
      <c r="C68" s="496"/>
      <c r="D68" s="496"/>
      <c r="E68" s="496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2" t="s">
        <v>3</v>
      </c>
      <c r="C78" s="482"/>
      <c r="D78" s="482"/>
      <c r="E78" s="482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94" t="s">
        <v>3</v>
      </c>
      <c r="C89" s="494"/>
      <c r="D89" s="494"/>
      <c r="E89" s="494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94" t="s">
        <v>3</v>
      </c>
      <c r="C98" s="494"/>
      <c r="D98" s="494"/>
      <c r="E98" s="494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86" t="s">
        <v>3</v>
      </c>
      <c r="C109" s="486"/>
      <c r="D109" s="486"/>
      <c r="E109" s="486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2" t="s">
        <v>3</v>
      </c>
      <c r="C118" s="482"/>
      <c r="D118" s="482"/>
      <c r="E118" s="482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2" t="s">
        <v>3</v>
      </c>
      <c r="C127" s="482"/>
      <c r="D127" s="482"/>
      <c r="E127" s="482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2" t="s">
        <v>3</v>
      </c>
      <c r="C154" s="482"/>
      <c r="D154" s="482"/>
      <c r="E154" s="482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91" t="s">
        <v>3</v>
      </c>
      <c r="C162" s="492"/>
      <c r="D162" s="492"/>
      <c r="E162" s="493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91" t="s">
        <v>3</v>
      </c>
      <c r="C175" s="492"/>
      <c r="D175" s="492"/>
      <c r="E175" s="493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95" t="s">
        <v>284</v>
      </c>
      <c r="B178" s="495"/>
      <c r="C178" s="495"/>
      <c r="D178" s="495"/>
      <c r="E178" s="495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A1:G1"/>
    <mergeCell ref="C9:G10"/>
    <mergeCell ref="C13:F13"/>
    <mergeCell ref="B19:F19"/>
    <mergeCell ref="A23:G23"/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topLeftCell="A116" zoomScale="85" zoomScaleNormal="70" zoomScaleSheetLayoutView="85" workbookViewId="0">
      <selection activeCell="B36" sqref="B36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501" t="s">
        <v>586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1" t="s">
        <v>653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3" t="s">
        <v>37</v>
      </c>
      <c r="D13" s="483"/>
      <c r="E13" s="483"/>
      <c r="F13" s="483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84" t="s">
        <v>76</v>
      </c>
      <c r="C18" s="485"/>
      <c r="D18" s="485"/>
      <c r="E18" s="485"/>
      <c r="F18" s="485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99" t="s">
        <v>42</v>
      </c>
      <c r="B23" s="500"/>
      <c r="C23" s="500"/>
      <c r="D23" s="500"/>
      <c r="E23" s="500"/>
      <c r="F23" s="500"/>
      <c r="G23" s="500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99" t="s">
        <v>69</v>
      </c>
      <c r="B25" s="499"/>
      <c r="C25" s="499"/>
      <c r="D25" s="499"/>
      <c r="E25" s="499"/>
      <c r="F25" s="499"/>
      <c r="G25" s="499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06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07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08"/>
    </row>
    <row r="40" spans="1:9" ht="12.75" customHeight="1">
      <c r="A40" s="67"/>
      <c r="B40" s="486" t="s">
        <v>3</v>
      </c>
      <c r="C40" s="486"/>
      <c r="D40" s="486"/>
      <c r="E40" s="486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96" t="s">
        <v>3</v>
      </c>
      <c r="C53" s="496"/>
      <c r="D53" s="496"/>
      <c r="E53" s="496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2" t="s">
        <v>3</v>
      </c>
      <c r="C63" s="482"/>
      <c r="D63" s="482"/>
      <c r="E63" s="482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2" t="s">
        <v>3</v>
      </c>
      <c r="C75" s="502"/>
      <c r="D75" s="502"/>
      <c r="E75" s="502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2" t="s">
        <v>3</v>
      </c>
      <c r="C85" s="502"/>
      <c r="D85" s="502"/>
      <c r="E85" s="502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3" t="s">
        <v>3</v>
      </c>
      <c r="C97" s="504"/>
      <c r="D97" s="504"/>
      <c r="E97" s="505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2" t="s">
        <v>3</v>
      </c>
      <c r="C106" s="482"/>
      <c r="D106" s="482"/>
      <c r="E106" s="482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2" t="s">
        <v>3</v>
      </c>
      <c r="C114" s="482"/>
      <c r="D114" s="482"/>
      <c r="E114" s="482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2" t="s">
        <v>3</v>
      </c>
      <c r="C138" s="482"/>
      <c r="D138" s="482"/>
      <c r="E138" s="482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2" t="s">
        <v>3</v>
      </c>
      <c r="C145" s="482"/>
      <c r="D145" s="482"/>
      <c r="E145" s="482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91" t="s">
        <v>3</v>
      </c>
      <c r="C156" s="492"/>
      <c r="D156" s="492"/>
      <c r="E156" s="493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95" t="s">
        <v>76</v>
      </c>
      <c r="B158" s="495"/>
      <c r="C158" s="495"/>
      <c r="D158" s="495"/>
      <c r="E158" s="495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158:E158"/>
    <mergeCell ref="B106:E106"/>
    <mergeCell ref="B63:E63"/>
    <mergeCell ref="B53:E53"/>
    <mergeCell ref="A25:G25"/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B109" zoomScale="82" zoomScaleNormal="100" zoomScaleSheetLayoutView="82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143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1" t="s">
        <v>653</v>
      </c>
      <c r="D10" s="460"/>
      <c r="E10" s="460"/>
      <c r="F10" s="460"/>
      <c r="G10" s="460"/>
    </row>
    <row r="11" spans="1:7" ht="24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3" t="s">
        <v>37</v>
      </c>
      <c r="D14" s="483"/>
      <c r="E14" s="483"/>
      <c r="F14" s="483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4" t="s">
        <v>157</v>
      </c>
      <c r="C19" s="485"/>
      <c r="D19" s="485"/>
      <c r="E19" s="485"/>
      <c r="F19" s="485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8" t="s">
        <v>42</v>
      </c>
      <c r="B27" s="479"/>
      <c r="C27" s="479"/>
      <c r="D27" s="479"/>
      <c r="E27" s="479"/>
      <c r="F27" s="479"/>
      <c r="G27" s="479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8" t="s">
        <v>154</v>
      </c>
      <c r="B29" s="478"/>
      <c r="C29" s="478"/>
      <c r="D29" s="478"/>
      <c r="E29" s="478"/>
      <c r="F29" s="478"/>
      <c r="G29" s="478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86" t="s">
        <v>3</v>
      </c>
      <c r="C44" s="486"/>
      <c r="D44" s="486"/>
      <c r="E44" s="486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96" t="s">
        <v>3</v>
      </c>
      <c r="C56" s="496"/>
      <c r="D56" s="496"/>
      <c r="E56" s="496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2" t="s">
        <v>3</v>
      </c>
      <c r="C66" s="482"/>
      <c r="D66" s="482"/>
      <c r="E66" s="482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94" t="s">
        <v>3</v>
      </c>
      <c r="C77" s="494"/>
      <c r="D77" s="494"/>
      <c r="E77" s="494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94" t="s">
        <v>3</v>
      </c>
      <c r="C86" s="494"/>
      <c r="D86" s="494"/>
      <c r="E86" s="494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86" t="s">
        <v>3</v>
      </c>
      <c r="C97" s="486"/>
      <c r="D97" s="486"/>
      <c r="E97" s="486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2" t="s">
        <v>3</v>
      </c>
      <c r="C106" s="482"/>
      <c r="D106" s="482"/>
      <c r="E106" s="482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2" t="s">
        <v>3</v>
      </c>
      <c r="C123" s="482"/>
      <c r="D123" s="482"/>
      <c r="E123" s="482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2" t="s">
        <v>3</v>
      </c>
      <c r="C132" s="482"/>
      <c r="D132" s="482"/>
      <c r="E132" s="482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91" t="s">
        <v>3</v>
      </c>
      <c r="C139" s="492"/>
      <c r="D139" s="492"/>
      <c r="E139" s="493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1" t="s">
        <v>3</v>
      </c>
      <c r="C151" s="492"/>
      <c r="D151" s="492"/>
      <c r="E151" s="493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5" t="s">
        <v>157</v>
      </c>
      <c r="B154" s="495"/>
      <c r="C154" s="495"/>
      <c r="D154" s="495"/>
      <c r="E154" s="495"/>
      <c r="F154" s="87" t="s">
        <v>0</v>
      </c>
      <c r="G154" s="164">
        <f>+G19</f>
        <v>17290.75</v>
      </c>
      <c r="I154" s="63">
        <f>RESUMEN!G27</f>
        <v>435102.28833333333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3:G3"/>
    <mergeCell ref="B77:E77"/>
    <mergeCell ref="A29:G29"/>
    <mergeCell ref="C14:F14"/>
    <mergeCell ref="B19:F19"/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97" t="s">
        <v>169</v>
      </c>
      <c r="B1" s="497"/>
      <c r="C1" s="497"/>
      <c r="D1" s="497"/>
      <c r="E1" s="497"/>
      <c r="F1" s="497"/>
      <c r="G1" s="497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98" t="str">
        <f>'R'!C13</f>
        <v>“OPTIMIZACIÓN  DE COBERTURA METALICA Y TRIBUNA DE LA IE No. 550006 BELEN DE OSMA Y PARDO, PROVINCIA DE ANDAHUAYLAS-REGION APURIMAC"</v>
      </c>
      <c r="D9" s="498"/>
      <c r="E9" s="498"/>
      <c r="F9" s="498"/>
      <c r="G9" s="498"/>
    </row>
    <row r="10" spans="1:7" ht="18" customHeight="1">
      <c r="B10" s="29"/>
      <c r="C10" s="498"/>
      <c r="D10" s="498"/>
      <c r="E10" s="498"/>
      <c r="F10" s="498"/>
      <c r="G10" s="498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3" t="s">
        <v>37</v>
      </c>
      <c r="D13" s="483"/>
      <c r="E13" s="483"/>
      <c r="F13" s="483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84" t="s">
        <v>263</v>
      </c>
      <c r="C18" s="485"/>
      <c r="D18" s="485"/>
      <c r="E18" s="485"/>
      <c r="F18" s="485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78" t="s">
        <v>42</v>
      </c>
      <c r="B22" s="479"/>
      <c r="C22" s="479"/>
      <c r="D22" s="479"/>
      <c r="E22" s="479"/>
      <c r="F22" s="479"/>
      <c r="G22" s="479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78" t="s">
        <v>261</v>
      </c>
      <c r="B24" s="478"/>
      <c r="C24" s="478"/>
      <c r="D24" s="478"/>
      <c r="E24" s="478"/>
      <c r="F24" s="478"/>
      <c r="G24" s="478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86" t="s">
        <v>3</v>
      </c>
      <c r="C37" s="486"/>
      <c r="D37" s="486"/>
      <c r="E37" s="486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96" t="s">
        <v>3</v>
      </c>
      <c r="C49" s="496"/>
      <c r="D49" s="496"/>
      <c r="E49" s="496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2" t="s">
        <v>3</v>
      </c>
      <c r="C59" s="482"/>
      <c r="D59" s="482"/>
      <c r="E59" s="482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2" t="s">
        <v>3</v>
      </c>
      <c r="C70" s="502"/>
      <c r="D70" s="502"/>
      <c r="E70" s="502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2" t="s">
        <v>3</v>
      </c>
      <c r="C79" s="502"/>
      <c r="D79" s="502"/>
      <c r="E79" s="502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86" t="s">
        <v>3</v>
      </c>
      <c r="C90" s="486"/>
      <c r="D90" s="486"/>
      <c r="E90" s="486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2" t="s">
        <v>3</v>
      </c>
      <c r="C176" s="482"/>
      <c r="D176" s="482"/>
      <c r="E176" s="482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2" t="s">
        <v>3</v>
      </c>
      <c r="C186" s="482"/>
      <c r="D186" s="482"/>
      <c r="E186" s="482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91" t="s">
        <v>3</v>
      </c>
      <c r="C197" s="492"/>
      <c r="D197" s="492"/>
      <c r="E197" s="493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95" t="s">
        <v>262</v>
      </c>
      <c r="B200" s="495"/>
      <c r="C200" s="495"/>
      <c r="D200" s="495"/>
      <c r="E200" s="495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1:G1"/>
    <mergeCell ref="C9:G10"/>
    <mergeCell ref="C13:F13"/>
    <mergeCell ref="B18:F18"/>
    <mergeCell ref="A22:G22"/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zoomScale="106" zoomScaleNormal="100" zoomScaleSheetLayoutView="106" workbookViewId="0">
      <selection activeCell="B49" sqref="B49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587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1" t="s">
        <v>653</v>
      </c>
      <c r="D10" s="460"/>
      <c r="E10" s="460"/>
      <c r="F10" s="460"/>
      <c r="G10" s="460"/>
    </row>
    <row r="11" spans="1:7" ht="22.95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3" t="s">
        <v>37</v>
      </c>
      <c r="D14" s="483"/>
      <c r="E14" s="483"/>
      <c r="F14" s="483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4" t="s">
        <v>589</v>
      </c>
      <c r="C19" s="485"/>
      <c r="D19" s="485"/>
      <c r="E19" s="485"/>
      <c r="F19" s="485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8" t="s">
        <v>42</v>
      </c>
      <c r="B27" s="479"/>
      <c r="C27" s="479"/>
      <c r="D27" s="479"/>
      <c r="E27" s="479"/>
      <c r="F27" s="479"/>
      <c r="G27" s="479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8" t="s">
        <v>588</v>
      </c>
      <c r="B29" s="478"/>
      <c r="C29" s="478"/>
      <c r="D29" s="478"/>
      <c r="E29" s="478"/>
      <c r="F29" s="478"/>
      <c r="G29" s="478"/>
    </row>
    <row r="30" spans="1:10" ht="27" customHeight="1">
      <c r="A30" s="430"/>
      <c r="B30" s="430"/>
      <c r="C30" s="430"/>
      <c r="D30" s="430"/>
      <c r="E30" s="430"/>
      <c r="F30" s="430"/>
      <c r="G30" s="430"/>
    </row>
    <row r="31" spans="1:10" ht="27" customHeight="1">
      <c r="A31" s="430"/>
      <c r="B31" s="430"/>
      <c r="C31" s="430"/>
      <c r="D31" s="430"/>
      <c r="E31" s="430"/>
      <c r="F31" s="430"/>
      <c r="G31" s="430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1" t="s">
        <v>46</v>
      </c>
      <c r="D41" s="431" t="s">
        <v>47</v>
      </c>
      <c r="E41" s="431" t="s">
        <v>14</v>
      </c>
      <c r="F41" s="431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86" t="s">
        <v>3</v>
      </c>
      <c r="C44" s="486"/>
      <c r="D44" s="486"/>
      <c r="E44" s="486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1" t="s">
        <v>46</v>
      </c>
      <c r="D53" s="431" t="s">
        <v>47</v>
      </c>
      <c r="E53" s="431" t="s">
        <v>14</v>
      </c>
      <c r="F53" s="431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96" t="s">
        <v>3</v>
      </c>
      <c r="C56" s="496"/>
      <c r="D56" s="496"/>
      <c r="E56" s="496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1" t="s">
        <v>46</v>
      </c>
      <c r="D63" s="431" t="s">
        <v>47</v>
      </c>
      <c r="E63" s="431" t="s">
        <v>14</v>
      </c>
      <c r="F63" s="431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2" t="s">
        <v>3</v>
      </c>
      <c r="C66" s="482"/>
      <c r="D66" s="482"/>
      <c r="E66" s="482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1" t="s">
        <v>46</v>
      </c>
      <c r="D74" s="431" t="s">
        <v>47</v>
      </c>
      <c r="E74" s="431" t="s">
        <v>14</v>
      </c>
      <c r="F74" s="431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94" t="s">
        <v>3</v>
      </c>
      <c r="C77" s="494"/>
      <c r="D77" s="494"/>
      <c r="E77" s="494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1" t="s">
        <v>46</v>
      </c>
      <c r="D83" s="431" t="s">
        <v>47</v>
      </c>
      <c r="E83" s="431" t="s">
        <v>14</v>
      </c>
      <c r="F83" s="431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94" t="s">
        <v>3</v>
      </c>
      <c r="C86" s="494"/>
      <c r="D86" s="494"/>
      <c r="E86" s="494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1" t="s">
        <v>46</v>
      </c>
      <c r="D94" s="431" t="s">
        <v>47</v>
      </c>
      <c r="E94" s="431" t="s">
        <v>14</v>
      </c>
      <c r="F94" s="431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86" t="s">
        <v>3</v>
      </c>
      <c r="C97" s="486"/>
      <c r="D97" s="486"/>
      <c r="E97" s="486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2" t="s">
        <v>3</v>
      </c>
      <c r="C106" s="482"/>
      <c r="D106" s="482"/>
      <c r="E106" s="482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2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1" t="s">
        <v>63</v>
      </c>
      <c r="D110" s="431" t="s">
        <v>25</v>
      </c>
      <c r="E110" s="431" t="s">
        <v>5</v>
      </c>
      <c r="F110" s="431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2" t="s">
        <v>3</v>
      </c>
      <c r="C123" s="482"/>
      <c r="D123" s="482"/>
      <c r="E123" s="482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2" t="s">
        <v>3</v>
      </c>
      <c r="C132" s="482"/>
      <c r="D132" s="482"/>
      <c r="E132" s="482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1" t="s">
        <v>63</v>
      </c>
      <c r="D135" s="431" t="s">
        <v>25</v>
      </c>
      <c r="E135" s="431" t="s">
        <v>5</v>
      </c>
      <c r="F135" s="431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91" t="s">
        <v>3</v>
      </c>
      <c r="C139" s="492"/>
      <c r="D139" s="492"/>
      <c r="E139" s="493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2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1" t="s">
        <v>63</v>
      </c>
      <c r="D147" s="431" t="s">
        <v>25</v>
      </c>
      <c r="E147" s="431" t="s">
        <v>5</v>
      </c>
      <c r="F147" s="431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1" t="s">
        <v>3</v>
      </c>
      <c r="C151" s="492"/>
      <c r="D151" s="492"/>
      <c r="E151" s="493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5" t="s">
        <v>589</v>
      </c>
      <c r="B154" s="495"/>
      <c r="C154" s="495"/>
      <c r="D154" s="495"/>
      <c r="E154" s="495"/>
      <c r="F154" s="87" t="s">
        <v>0</v>
      </c>
      <c r="G154" s="164">
        <f>+G19</f>
        <v>15464.06</v>
      </c>
      <c r="I154" s="63">
        <f>RESUMEN!G27</f>
        <v>435102.28833333333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  <mergeCell ref="A29:G29"/>
    <mergeCell ref="A3:G3"/>
    <mergeCell ref="C10:G11"/>
    <mergeCell ref="C14:F14"/>
    <mergeCell ref="B19:F19"/>
    <mergeCell ref="A27:G27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751</cp:lastModifiedBy>
  <cp:lastPrinted>2020-09-14T17:03:00Z</cp:lastPrinted>
  <dcterms:created xsi:type="dcterms:W3CDTF">2003-01-21T17:07:22Z</dcterms:created>
  <dcterms:modified xsi:type="dcterms:W3CDTF">2020-09-28T18:10:26Z</dcterms:modified>
</cp:coreProperties>
</file>